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0D0FA89B-9D0F-41E4-BDA5-902C001392E4}" xr6:coauthVersionLast="47" xr6:coauthVersionMax="47" xr10:uidLastSave="{00000000-0000-0000-0000-000000000000}"/>
  <bookViews>
    <workbookView xWindow="-108" yWindow="-108" windowWidth="23256" windowHeight="12456" tabRatio="924" activeTab="7" xr2:uid="{00000000-000D-0000-FFFF-FFFF00000000}"/>
  </bookViews>
  <sheets>
    <sheet name="H A" sheetId="2" r:id="rId1"/>
    <sheet name="Century as a captain" sheetId="3" r:id="rId2"/>
    <sheet name="Batting Order" sheetId="4" r:id="rId3"/>
    <sheet name="Win and Loss Data" sheetId="5" r:id="rId4"/>
    <sheet name="Venue" sheetId="6" r:id="rId5"/>
    <sheet name="YEARLY PERFORMANCE" sheetId="8" r:id="rId6"/>
    <sheet name="Dashbord" sheetId="12" r:id="rId7"/>
    <sheet name="71 Centuries of Virat Kohli (3)" sheetId="1" r:id="rId8"/>
  </sheets>
  <definedNames>
    <definedName name="_xlchart.v1.0" hidden="1">'YEARLY PERFORMANCE'!$D$4:$D$15</definedName>
    <definedName name="_xlchart.v1.1" hidden="1">'YEARLY PERFORMANCE'!$E$4:$E$15</definedName>
    <definedName name="_xlchart.v1.2" hidden="1">'YEARLY PERFORMANCE'!$D$4:$D$15</definedName>
    <definedName name="_xlchart.v1.3" hidden="1">'YEARLY PERFORMANCE'!$E$4:$E$15</definedName>
    <definedName name="Slicer_Years">#N/A</definedName>
  </definedNames>
  <calcPr calcId="191029"/>
  <pivotCaches>
    <pivotCache cacheId="34"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D4" i="8" l="1"/>
  <c r="D5" i="8"/>
  <c r="D6" i="8"/>
  <c r="D7" i="8"/>
  <c r="D8" i="8"/>
  <c r="D9" i="8"/>
  <c r="D10" i="8"/>
  <c r="D11" i="8"/>
  <c r="D12" i="8"/>
  <c r="D13" i="8"/>
  <c r="D14" i="8"/>
  <c r="D15" i="8"/>
  <c r="E5" i="8"/>
  <c r="E11" i="8"/>
  <c r="E15" i="8"/>
  <c r="E6" i="8"/>
  <c r="E9" i="8"/>
  <c r="E12" i="8"/>
  <c r="E14" i="8"/>
  <c r="E7" i="8"/>
  <c r="E10" i="8"/>
  <c r="E13" i="8"/>
  <c r="E8" i="8"/>
  <c r="E4" i="8"/>
</calcChain>
</file>

<file path=xl/sharedStrings.xml><?xml version="1.0" encoding="utf-8"?>
<sst xmlns="http://schemas.openxmlformats.org/spreadsheetml/2006/main" count="761" uniqueCount="148">
  <si>
    <t>Score</t>
  </si>
  <si>
    <t>Out/Not Out</t>
  </si>
  <si>
    <t>Against</t>
  </si>
  <si>
    <t>Batting Order</t>
  </si>
  <si>
    <t>Inn.</t>
  </si>
  <si>
    <t>Strike Rate</t>
  </si>
  <si>
    <t>Venue</t>
  </si>
  <si>
    <t>H/A</t>
  </si>
  <si>
    <t>Date</t>
  </si>
  <si>
    <t>Result</t>
  </si>
  <si>
    <t>Format</t>
  </si>
  <si>
    <t>Man of the Match</t>
  </si>
  <si>
    <t>Captain</t>
  </si>
  <si>
    <t>Out</t>
  </si>
  <si>
    <t>Australia</t>
  </si>
  <si>
    <t>Adelaide Oval</t>
  </si>
  <si>
    <t xml:space="preserve"> Adelaide</t>
  </si>
  <si>
    <t>Away</t>
  </si>
  <si>
    <t>Lost</t>
  </si>
  <si>
    <t>Test</t>
  </si>
  <si>
    <t>No</t>
  </si>
  <si>
    <t>New Zealand</t>
  </si>
  <si>
    <t>M. Chinnaswamy Stadium</t>
  </si>
  <si>
    <t xml:space="preserve"> Bangalore</t>
  </si>
  <si>
    <t>Home</t>
  </si>
  <si>
    <t>Won</t>
  </si>
  <si>
    <t>Yes</t>
  </si>
  <si>
    <t>England</t>
  </si>
  <si>
    <t>Vidarbha Cricket Association Stadium</t>
  </si>
  <si>
    <t xml:space="preserve"> Nagpur</t>
  </si>
  <si>
    <t>Drawn</t>
  </si>
  <si>
    <t>M. A. Chidambaram Stadium</t>
  </si>
  <si>
    <t xml:space="preserve"> Chennai</t>
  </si>
  <si>
    <t>South Africa</t>
  </si>
  <si>
    <t>Wanderers Stadium</t>
  </si>
  <si>
    <t xml:space="preserve"> Johannesburg</t>
  </si>
  <si>
    <t>Not Out</t>
  </si>
  <si>
    <t>Basin Reserve</t>
  </si>
  <si>
    <t xml:space="preserve"> Wellington</t>
  </si>
  <si>
    <t>Melbourne Cricket Ground</t>
  </si>
  <si>
    <t xml:space="preserve"> Melbourne</t>
  </si>
  <si>
    <t>Sydney Cricket Ground</t>
  </si>
  <si>
    <t xml:space="preserve"> Sydney</t>
  </si>
  <si>
    <t>Sri Lanka</t>
  </si>
  <si>
    <t>Galle International Stadium</t>
  </si>
  <si>
    <t xml:space="preserve"> Galle</t>
  </si>
  <si>
    <t>West Indies</t>
  </si>
  <si>
    <t>Sir Vivian Richards Stadium</t>
  </si>
  <si>
    <t xml:space="preserve"> North Sound</t>
  </si>
  <si>
    <t>Holkar Stadium</t>
  </si>
  <si>
    <t xml:space="preserve"> Indore</t>
  </si>
  <si>
    <t>ACA-VDCA Cricket Stadium</t>
  </si>
  <si>
    <t xml:space="preserve"> Visakhapatnam</t>
  </si>
  <si>
    <t>Wankhede Stadium</t>
  </si>
  <si>
    <t xml:space="preserve"> Mumbai</t>
  </si>
  <si>
    <t>Bangladesh</t>
  </si>
  <si>
    <t>Rajiv Gandhi International Cricket Stadium</t>
  </si>
  <si>
    <t xml:space="preserve"> Hyderabad</t>
  </si>
  <si>
    <t>Eden Gardens</t>
  </si>
  <si>
    <t xml:space="preserve"> Kolkata</t>
  </si>
  <si>
    <t>Feroz Shah Kotla Ground</t>
  </si>
  <si>
    <t xml:space="preserve"> Delhi</t>
  </si>
  <si>
    <t>SuperSport Park</t>
  </si>
  <si>
    <t xml:space="preserve"> Centurion</t>
  </si>
  <si>
    <t>Edgbaston Cricket Ground</t>
  </si>
  <si>
    <t xml:space="preserve"> Birmingham</t>
  </si>
  <si>
    <t>Trent Bridge</t>
  </si>
  <si>
    <t xml:space="preserve"> Nottingham</t>
  </si>
  <si>
    <t>Saurashtra Cricket Association Stadium</t>
  </si>
  <si>
    <t xml:space="preserve"> Rajkot</t>
  </si>
  <si>
    <t>Perth Stadium</t>
  </si>
  <si>
    <t xml:space="preserve"> Perth</t>
  </si>
  <si>
    <t>Maharashtra Cricket Association Stadium</t>
  </si>
  <si>
    <t xml:space="preserve"> Pune</t>
  </si>
  <si>
    <t>ODI</t>
  </si>
  <si>
    <t>Sher-e-Bangla Cricket Stadium</t>
  </si>
  <si>
    <t xml:space="preserve"> Dhaka</t>
  </si>
  <si>
    <t>APCA-VDCA Stadium</t>
  </si>
  <si>
    <t>Nehru Stadium</t>
  </si>
  <si>
    <t xml:space="preserve"> Guwahati</t>
  </si>
  <si>
    <t>Sophia Gardens</t>
  </si>
  <si>
    <t xml:space="preserve"> Cardiff</t>
  </si>
  <si>
    <t>Lost (D/L)</t>
  </si>
  <si>
    <t>Bellerive Oval</t>
  </si>
  <si>
    <t xml:space="preserve"> Hobart</t>
  </si>
  <si>
    <t>Pakistan</t>
  </si>
  <si>
    <t>MRIC Stadium</t>
  </si>
  <si>
    <t xml:space="preserve"> Hambantota</t>
  </si>
  <si>
    <t>R. Premadasa Stadium</t>
  </si>
  <si>
    <t xml:space="preserve"> Colombo</t>
  </si>
  <si>
    <t>Queen's Park Oval</t>
  </si>
  <si>
    <t xml:space="preserve"> Port of Spain</t>
  </si>
  <si>
    <t>Won (D/L)</t>
  </si>
  <si>
    <t>Zimbabwe</t>
  </si>
  <si>
    <t>Harare Sports Club</t>
  </si>
  <si>
    <t xml:space="preserve"> Harare</t>
  </si>
  <si>
    <t>Sawai Mansingh Stadium</t>
  </si>
  <si>
    <t xml:space="preserve"> Jaipur</t>
  </si>
  <si>
    <t>VCA Stadium</t>
  </si>
  <si>
    <t>McLean Park</t>
  </si>
  <si>
    <t xml:space="preserve"> Napier</t>
  </si>
  <si>
    <t>Khan Shaheb Osman Ali Stadium</t>
  </si>
  <si>
    <t xml:space="preserve"> Fatullah</t>
  </si>
  <si>
    <t>HPCA Stadium</t>
  </si>
  <si>
    <t xml:space="preserve"> Dharamshala</t>
  </si>
  <si>
    <t>JSCA International Stadium</t>
  </si>
  <si>
    <t xml:space="preserve"> Ranchi</t>
  </si>
  <si>
    <t>Manuka Oval</t>
  </si>
  <si>
    <t xml:space="preserve"> Canberra</t>
  </si>
  <si>
    <t>Punjab Cricket Association IS Bindra Stadium</t>
  </si>
  <si>
    <t xml:space="preserve"> Mohali</t>
  </si>
  <si>
    <t>Sabina Park</t>
  </si>
  <si>
    <t xml:space="preserve"> Kingston</t>
  </si>
  <si>
    <t>Green Park Stadium</t>
  </si>
  <si>
    <t xml:space="preserve"> Kanpur</t>
  </si>
  <si>
    <t>Kingsmead Cricket Ground</t>
  </si>
  <si>
    <t xml:space="preserve"> Durban</t>
  </si>
  <si>
    <t>Newlands Cricket Ground</t>
  </si>
  <si>
    <t xml:space="preserve"> Cape Town</t>
  </si>
  <si>
    <t>ACA Stadium</t>
  </si>
  <si>
    <t>Tied</t>
  </si>
  <si>
    <t>Afganistan</t>
  </si>
  <si>
    <t>Dubai International Cricket Stadium</t>
  </si>
  <si>
    <t>Dubai</t>
  </si>
  <si>
    <t>T20I</t>
  </si>
  <si>
    <t>Row Labels</t>
  </si>
  <si>
    <t>Grand Total</t>
  </si>
  <si>
    <t>Column Labels</t>
  </si>
  <si>
    <t>Count of Score</t>
  </si>
  <si>
    <t>Count of Centuries</t>
  </si>
  <si>
    <t>Century Percentage</t>
  </si>
  <si>
    <t>2009</t>
  </si>
  <si>
    <t>2010</t>
  </si>
  <si>
    <t>2011</t>
  </si>
  <si>
    <t>2012</t>
  </si>
  <si>
    <t>2013</t>
  </si>
  <si>
    <t>2014</t>
  </si>
  <si>
    <t>2015</t>
  </si>
  <si>
    <t>2016</t>
  </si>
  <si>
    <t>2017</t>
  </si>
  <si>
    <t>2018</t>
  </si>
  <si>
    <t>2019</t>
  </si>
  <si>
    <t>2022</t>
  </si>
  <si>
    <t>YEARS</t>
  </si>
  <si>
    <t>Percentsge</t>
  </si>
  <si>
    <t>STATS OF KING KOHLI CENTURIES</t>
  </si>
  <si>
    <t>City</t>
  </si>
  <si>
    <t>BATTING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</si>
</sst>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48"/>
      <color theme="1"/>
      <name val="Calibri"/>
      <family val="2"/>
      <scheme val="minor"/>
    </font>
    <font>
      <b/>
      <sz val="48"/>
      <color theme="9" tint="0.39997558519241921"/>
      <name val="Calibri"/>
      <family val="2"/>
      <scheme val="minor"/>
    </font>
    <font>
      <b/>
      <sz val="11"/>
      <color theme="9" tint="0.3999755851924192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8" fillId="0" borderId="0" xfId="0" applyFont="1"/>
    <xf numFmtId="0" fontId="19" fillId="0" borderId="0" xfId="0" applyFont="1"/>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colors>
    <mruColors>
      <color rgb="FF0615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[71 CENTURY.xlsx]H A!PivotTable1</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'H A'!$B$3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E18-479D-B455-9680369CF16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E18-479D-B455-9680369CF16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 A'!$A$4:$A$6</c:f>
              <c:strCache>
                <c:ptCount val="2"/>
                <c:pt idx="0">
                  <c:v>Away</c:v>
                </c:pt>
                <c:pt idx="1">
                  <c:v>Home</c:v>
                </c:pt>
              </c:strCache>
            </c:strRef>
          </c:cat>
          <c:val>
            <c:numRef>
              <c:f>'H A'!$B$4:$B$6</c:f>
              <c:numCache>
                <c:formatCode>General</c:formatCode>
                <c:ptCount val="2"/>
                <c:pt idx="0">
                  <c:v>39</c:v>
                </c:pt>
                <c:pt idx="1">
                  <c:v>32</c:v>
                </c:pt>
              </c:numCache>
            </c:numRef>
          </c:val>
          <c:extLst>
            <c:ext xmlns:c16="http://schemas.microsoft.com/office/drawing/2014/chart" uri="{C3380CC4-5D6E-409C-BE32-E72D297353CC}">
              <c16:uniqueId val="{00000000-0575-46C7-9C74-AE3BABE2DA3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[71 CENTURY.xlsx]Century as a captain!PivotTable2</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'Century as a captain'!$B$3:$B$4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'Century as a captain'!$A$5:$A$13</c:f>
              <c:multiLvlStrCache>
                <c:ptCount val="5"/>
                <c:lvl>
                  <c:pt idx="0">
                    <c:v>No</c:v>
                  </c:pt>
                  <c:pt idx="1">
                    <c:v>Yes</c:v>
                  </c:pt>
                  <c:pt idx="2">
                    <c:v>Yes</c:v>
                  </c:pt>
                  <c:pt idx="3">
                    <c:v>No</c:v>
                  </c:pt>
                  <c:pt idx="4">
                    <c:v>Yes</c:v>
                  </c:pt>
                </c:lvl>
                <c:lvl>
                  <c:pt idx="0">
                    <c:v>ODI</c:v>
                  </c:pt>
                  <c:pt idx="2">
                    <c:v>T20I</c:v>
                  </c:pt>
                  <c:pt idx="3">
                    <c:v>Test</c:v>
                  </c:pt>
                </c:lvl>
              </c:multiLvlStrCache>
            </c:multiLvlStrRef>
          </c:cat>
          <c:val>
            <c:numRef>
              <c:f>'Century as a captain'!$B$5:$B$13</c:f>
              <c:numCache>
                <c:formatCode>General</c:formatCode>
                <c:ptCount val="5"/>
                <c:pt idx="0">
                  <c:v>7</c:v>
                </c:pt>
                <c:pt idx="1">
                  <c:v>15</c:v>
                </c:pt>
                <c:pt idx="2">
                  <c:v>1</c:v>
                </c:pt>
                <c:pt idx="3">
                  <c:v>6</c:v>
                </c:pt>
                <c:pt idx="4">
                  <c:v>1</c:v>
                </c:pt>
              </c:numCache>
            </c:numRef>
          </c:val>
          <c:extLst>
            <c:ext xmlns:c16="http://schemas.microsoft.com/office/drawing/2014/chart" uri="{C3380CC4-5D6E-409C-BE32-E72D297353CC}">
              <c16:uniqueId val="{00000000-ED68-4161-B55D-66222BDDACA7}"/>
            </c:ext>
          </c:extLst>
        </c:ser>
        <c:ser>
          <c:idx val="1"/>
          <c:order val="1"/>
          <c:tx>
            <c:strRef>
              <c:f>'Century as a captain'!$C$3:$C$4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'Century as a captain'!$A$5:$A$13</c:f>
              <c:multiLvlStrCache>
                <c:ptCount val="5"/>
                <c:lvl>
                  <c:pt idx="0">
                    <c:v>No</c:v>
                  </c:pt>
                  <c:pt idx="1">
                    <c:v>Yes</c:v>
                  </c:pt>
                  <c:pt idx="2">
                    <c:v>Yes</c:v>
                  </c:pt>
                  <c:pt idx="3">
                    <c:v>No</c:v>
                  </c:pt>
                  <c:pt idx="4">
                    <c:v>Yes</c:v>
                  </c:pt>
                </c:lvl>
                <c:lvl>
                  <c:pt idx="0">
                    <c:v>ODI</c:v>
                  </c:pt>
                  <c:pt idx="2">
                    <c:v>T20I</c:v>
                  </c:pt>
                  <c:pt idx="3">
                    <c:v>Test</c:v>
                  </c:pt>
                </c:lvl>
              </c:multiLvlStrCache>
            </c:multiLvlStrRef>
          </c:cat>
          <c:val>
            <c:numRef>
              <c:f>'Century as a captain'!$C$5:$C$13</c:f>
              <c:numCache>
                <c:formatCode>General</c:formatCode>
                <c:ptCount val="5"/>
                <c:pt idx="0">
                  <c:v>7</c:v>
                </c:pt>
                <c:pt idx="1">
                  <c:v>14</c:v>
                </c:pt>
                <c:pt idx="3">
                  <c:v>13</c:v>
                </c:pt>
                <c:pt idx="4">
                  <c:v>7</c:v>
                </c:pt>
              </c:numCache>
            </c:numRef>
          </c:val>
          <c:extLst>
            <c:ext xmlns:c16="http://schemas.microsoft.com/office/drawing/2014/chart" uri="{C3380CC4-5D6E-409C-BE32-E72D297353CC}">
              <c16:uniqueId val="{00000001-C2FD-47CB-8328-0474D186CD67}"/>
            </c:ext>
          </c:extLst>
        </c:ser>
        <c:dLbls>
          <c:showLegendKey val="0"/>
          <c:showVal val="1"/>
          <c:showCatName val="0"/>
          <c:showSerName val="0"/>
          <c:showPercent val="0"/>
          <c:showBubbleSize val="0"/>
        </c:dLbls>
        <c:gapWidth val="150"/>
        <c:shape val="box"/>
        <c:axId val="1394726144"/>
        <c:axId val="1394727392"/>
        <c:axId val="0"/>
      </c:bar3DChart>
      <c:catAx>
        <c:axId val="1394726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4727392"/>
        <c:crosses val="autoZero"/>
        <c:auto val="1"/>
        <c:lblAlgn val="ctr"/>
        <c:lblOffset val="100"/>
        <c:noMultiLvlLbl val="0"/>
      </c:catAx>
      <c:valAx>
        <c:axId val="139472739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472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[71 CENTURY.xlsx]Batting Order!PivotTable3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'Batting Order'!$B$3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'Batting Order'!$A$4:$A$9</c:f>
              <c:strCache>
                <c:ptCount val="5"/>
                <c:pt idx="0">
                  <c:v>1</c:v>
                </c:pt>
                <c:pt idx="1">
                  <c:v>3</c:v>
                </c:pt>
                <c:pt idx="2">
                  <c:v>4</c:v>
                </c:pt>
                <c:pt idx="3">
                  <c:v>5</c:v>
                </c:pt>
                <c:pt idx="4">
                  <c:v>6</c:v>
                </c:pt>
              </c:strCache>
            </c:strRef>
          </c:cat>
          <c:val>
            <c:numRef>
              <c:f>'Batting Order'!$B$4:$B$9</c:f>
              <c:numCache>
                <c:formatCode>General</c:formatCode>
                <c:ptCount val="5"/>
                <c:pt idx="0">
                  <c:v>1</c:v>
                </c:pt>
                <c:pt idx="1">
                  <c:v>36</c:v>
                </c:pt>
                <c:pt idx="2">
                  <c:v>30</c:v>
                </c:pt>
                <c:pt idx="3">
                  <c:v>3</c:v>
                </c:pt>
                <c:pt idx="4">
                  <c:v>1</c:v>
                </c:pt>
              </c:numCache>
            </c:numRef>
          </c:val>
          <c:extLst>
            <c:ext xmlns:c16="http://schemas.microsoft.com/office/drawing/2014/chart" uri="{C3380CC4-5D6E-409C-BE32-E72D297353CC}">
              <c16:uniqueId val="{00000000-EEF7-4A5D-A027-3F64959F7AC2}"/>
            </c:ext>
          </c:extLst>
        </c:ser>
        <c:dLbls>
          <c:showLegendKey val="0"/>
          <c:showVal val="1"/>
          <c:showCatName val="0"/>
          <c:showSerName val="0"/>
          <c:showPercent val="0"/>
          <c:showBubbleSize val="0"/>
        </c:dLbls>
        <c:gapWidth val="150"/>
        <c:shape val="box"/>
        <c:axId val="1390760416"/>
        <c:axId val="1390760832"/>
        <c:axId val="1579949536"/>
      </c:bar3DChart>
      <c:catAx>
        <c:axId val="1390760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0760832"/>
        <c:crosses val="autoZero"/>
        <c:auto val="1"/>
        <c:lblAlgn val="ctr"/>
        <c:lblOffset val="100"/>
        <c:noMultiLvlLbl val="0"/>
      </c:catAx>
      <c:valAx>
        <c:axId val="139076083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0760416"/>
        <c:crosses val="autoZero"/>
        <c:crossBetween val="between"/>
      </c:valAx>
      <c:serAx>
        <c:axId val="157994953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076083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[71 CENTURY.xlsx]Win and Loss Data!PivotTable4</c:name>
    <c:fmtId val="0"/>
  </c:pivotSource>
  <c:chart>
    <c:autoTitleDeleted val="0"/>
    <c:pivotFmts>
      <c:pivotFmt>
        <c:idx val="0"/>
        <c:spPr>
          <a:solidFill>
            <a:srgbClr val="7030A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'Win and Loss Data'!$B$3:$B$4</c:f>
              <c:strCache>
                <c:ptCount val="1"/>
                <c:pt idx="0">
                  <c:v>Drawn</c:v>
                </c:pt>
              </c:strCache>
            </c:strRef>
          </c:tx>
          <c:spPr>
            <a:solidFill>
              <a:srgbClr val="7030A0"/>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'Win and Loss Data'!$A$5:$A$15</c:f>
              <c:strCache>
                <c:ptCount val="10"/>
                <c:pt idx="0">
                  <c:v>Afganistan</c:v>
                </c:pt>
                <c:pt idx="1">
                  <c:v>Australia</c:v>
                </c:pt>
                <c:pt idx="2">
                  <c:v>Bangladesh</c:v>
                </c:pt>
                <c:pt idx="3">
                  <c:v>England</c:v>
                </c:pt>
                <c:pt idx="4">
                  <c:v>New Zealand</c:v>
                </c:pt>
                <c:pt idx="5">
                  <c:v>Pakistan</c:v>
                </c:pt>
                <c:pt idx="6">
                  <c:v>South Africa</c:v>
                </c:pt>
                <c:pt idx="7">
                  <c:v>Sri Lanka</c:v>
                </c:pt>
                <c:pt idx="8">
                  <c:v>West Indies</c:v>
                </c:pt>
                <c:pt idx="9">
                  <c:v>Zimbabwe</c:v>
                </c:pt>
              </c:strCache>
            </c:strRef>
          </c:cat>
          <c:val>
            <c:numRef>
              <c:f>'Win and Loss Data'!$B$5:$B$15</c:f>
              <c:numCache>
                <c:formatCode>General</c:formatCode>
                <c:ptCount val="10"/>
                <c:pt idx="1">
                  <c:v>2</c:v>
                </c:pt>
                <c:pt idx="3">
                  <c:v>1</c:v>
                </c:pt>
                <c:pt idx="4">
                  <c:v>1</c:v>
                </c:pt>
                <c:pt idx="6">
                  <c:v>1</c:v>
                </c:pt>
                <c:pt idx="7">
                  <c:v>2</c:v>
                </c:pt>
              </c:numCache>
            </c:numRef>
          </c:val>
          <c:extLst>
            <c:ext xmlns:c16="http://schemas.microsoft.com/office/drawing/2014/chart" uri="{C3380CC4-5D6E-409C-BE32-E72D297353CC}">
              <c16:uniqueId val="{00000000-98BA-4B3F-B83C-35697A2D2E62}"/>
            </c:ext>
          </c:extLst>
        </c:ser>
        <c:ser>
          <c:idx val="1"/>
          <c:order val="1"/>
          <c:tx>
            <c:strRef>
              <c:f>'Win and Loss Data'!$C$3:$C$4</c:f>
              <c:strCache>
                <c:ptCount val="1"/>
                <c:pt idx="0">
                  <c:v>Lost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'Win and Loss Data'!$A$5:$A$15</c:f>
              <c:strCache>
                <c:ptCount val="10"/>
                <c:pt idx="0">
                  <c:v>Afganistan</c:v>
                </c:pt>
                <c:pt idx="1">
                  <c:v>Australia</c:v>
                </c:pt>
                <c:pt idx="2">
                  <c:v>Bangladesh</c:v>
                </c:pt>
                <c:pt idx="3">
                  <c:v>England</c:v>
                </c:pt>
                <c:pt idx="4">
                  <c:v>New Zealand</c:v>
                </c:pt>
                <c:pt idx="5">
                  <c:v>Pakistan</c:v>
                </c:pt>
                <c:pt idx="6">
                  <c:v>South Africa</c:v>
                </c:pt>
                <c:pt idx="7">
                  <c:v>Sri Lanka</c:v>
                </c:pt>
                <c:pt idx="8">
                  <c:v>West Indies</c:v>
                </c:pt>
                <c:pt idx="9">
                  <c:v>Zimbabwe</c:v>
                </c:pt>
              </c:strCache>
            </c:strRef>
          </c:cat>
          <c:val>
            <c:numRef>
              <c:f>'Win and Loss Data'!$C$5:$C$15</c:f>
              <c:numCache>
                <c:formatCode>General</c:formatCode>
                <c:ptCount val="10"/>
                <c:pt idx="1">
                  <c:v>7</c:v>
                </c:pt>
                <c:pt idx="3">
                  <c:v>1</c:v>
                </c:pt>
                <c:pt idx="4">
                  <c:v>2</c:v>
                </c:pt>
                <c:pt idx="6">
                  <c:v>1</c:v>
                </c:pt>
                <c:pt idx="7">
                  <c:v>1</c:v>
                </c:pt>
                <c:pt idx="8">
                  <c:v>1</c:v>
                </c:pt>
              </c:numCache>
            </c:numRef>
          </c:val>
          <c:extLst>
            <c:ext xmlns:c16="http://schemas.microsoft.com/office/drawing/2014/chart" uri="{C3380CC4-5D6E-409C-BE32-E72D297353CC}">
              <c16:uniqueId val="{00000006-2607-44B0-89C3-83048B452E10}"/>
            </c:ext>
          </c:extLst>
        </c:ser>
        <c:ser>
          <c:idx val="2"/>
          <c:order val="2"/>
          <c:tx>
            <c:strRef>
              <c:f>'Win and Loss Data'!$D$3:$D$4</c:f>
              <c:strCache>
                <c:ptCount val="1"/>
                <c:pt idx="0">
                  <c:v>Lost (D/L)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'Win and Loss Data'!$A$5:$A$15</c:f>
              <c:strCache>
                <c:ptCount val="10"/>
                <c:pt idx="0">
                  <c:v>Afganistan</c:v>
                </c:pt>
                <c:pt idx="1">
                  <c:v>Australia</c:v>
                </c:pt>
                <c:pt idx="2">
                  <c:v>Bangladesh</c:v>
                </c:pt>
                <c:pt idx="3">
                  <c:v>England</c:v>
                </c:pt>
                <c:pt idx="4">
                  <c:v>New Zealand</c:v>
                </c:pt>
                <c:pt idx="5">
                  <c:v>Pakistan</c:v>
                </c:pt>
                <c:pt idx="6">
                  <c:v>South Africa</c:v>
                </c:pt>
                <c:pt idx="7">
                  <c:v>Sri Lanka</c:v>
                </c:pt>
                <c:pt idx="8">
                  <c:v>West Indies</c:v>
                </c:pt>
                <c:pt idx="9">
                  <c:v>Zimbabwe</c:v>
                </c:pt>
              </c:strCache>
            </c:strRef>
          </c:cat>
          <c:val>
            <c:numRef>
              <c:f>'Win and Loss Data'!$D$5:$D$15</c:f>
              <c:numCache>
                <c:formatCode>General</c:formatCode>
                <c:ptCount val="10"/>
                <c:pt idx="3">
                  <c:v>1</c:v>
                </c:pt>
              </c:numCache>
            </c:numRef>
          </c:val>
          <c:extLst>
            <c:ext xmlns:c16="http://schemas.microsoft.com/office/drawing/2014/chart" uri="{C3380CC4-5D6E-409C-BE32-E72D297353CC}">
              <c16:uniqueId val="{00000007-2607-44B0-89C3-83048B452E10}"/>
            </c:ext>
          </c:extLst>
        </c:ser>
        <c:ser>
          <c:idx val="3"/>
          <c:order val="3"/>
          <c:tx>
            <c:strRef>
              <c:f>'Win and Loss Data'!$E$3:$E$4</c:f>
              <c:strCache>
                <c:ptCount val="1"/>
                <c:pt idx="0">
                  <c:v>Tied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'Win and Loss Data'!$A$5:$A$15</c:f>
              <c:strCache>
                <c:ptCount val="10"/>
                <c:pt idx="0">
                  <c:v>Afganistan</c:v>
                </c:pt>
                <c:pt idx="1">
                  <c:v>Australia</c:v>
                </c:pt>
                <c:pt idx="2">
                  <c:v>Bangladesh</c:v>
                </c:pt>
                <c:pt idx="3">
                  <c:v>England</c:v>
                </c:pt>
                <c:pt idx="4">
                  <c:v>New Zealand</c:v>
                </c:pt>
                <c:pt idx="5">
                  <c:v>Pakistan</c:v>
                </c:pt>
                <c:pt idx="6">
                  <c:v>South Africa</c:v>
                </c:pt>
                <c:pt idx="7">
                  <c:v>Sri Lanka</c:v>
                </c:pt>
                <c:pt idx="8">
                  <c:v>West Indies</c:v>
                </c:pt>
                <c:pt idx="9">
                  <c:v>Zimbabwe</c:v>
                </c:pt>
              </c:strCache>
            </c:strRef>
          </c:cat>
          <c:val>
            <c:numRef>
              <c:f>'Win and Loss Data'!$E$5:$E$15</c:f>
              <c:numCache>
                <c:formatCode>General</c:formatCode>
                <c:ptCount val="10"/>
                <c:pt idx="8">
                  <c:v>1</c:v>
                </c:pt>
              </c:numCache>
            </c:numRef>
          </c:val>
          <c:extLst>
            <c:ext xmlns:c16="http://schemas.microsoft.com/office/drawing/2014/chart" uri="{C3380CC4-5D6E-409C-BE32-E72D297353CC}">
              <c16:uniqueId val="{00000008-2607-44B0-89C3-83048B452E10}"/>
            </c:ext>
          </c:extLst>
        </c:ser>
        <c:ser>
          <c:idx val="4"/>
          <c:order val="4"/>
          <c:tx>
            <c:strRef>
              <c:f>'Win and Loss Data'!$F$3:$F$4</c:f>
              <c:strCache>
                <c:ptCount val="1"/>
                <c:pt idx="0">
                  <c:v>Won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'Win and Loss Data'!$A$5:$A$15</c:f>
              <c:strCache>
                <c:ptCount val="10"/>
                <c:pt idx="0">
                  <c:v>Afganistan</c:v>
                </c:pt>
                <c:pt idx="1">
                  <c:v>Australia</c:v>
                </c:pt>
                <c:pt idx="2">
                  <c:v>Bangladesh</c:v>
                </c:pt>
                <c:pt idx="3">
                  <c:v>England</c:v>
                </c:pt>
                <c:pt idx="4">
                  <c:v>New Zealand</c:v>
                </c:pt>
                <c:pt idx="5">
                  <c:v>Pakistan</c:v>
                </c:pt>
                <c:pt idx="6">
                  <c:v>South Africa</c:v>
                </c:pt>
                <c:pt idx="7">
                  <c:v>Sri Lanka</c:v>
                </c:pt>
                <c:pt idx="8">
                  <c:v>West Indies</c:v>
                </c:pt>
                <c:pt idx="9">
                  <c:v>Zimbabwe</c:v>
                </c:pt>
              </c:strCache>
            </c:strRef>
          </c:cat>
          <c:val>
            <c:numRef>
              <c:f>'Win and Loss Data'!$F$5:$F$15</c:f>
              <c:numCache>
                <c:formatCode>General</c:formatCode>
                <c:ptCount val="10"/>
                <c:pt idx="0">
                  <c:v>1</c:v>
                </c:pt>
                <c:pt idx="1">
                  <c:v>6</c:v>
                </c:pt>
                <c:pt idx="2">
                  <c:v>5</c:v>
                </c:pt>
                <c:pt idx="3">
                  <c:v>5</c:v>
                </c:pt>
                <c:pt idx="4">
                  <c:v>5</c:v>
                </c:pt>
                <c:pt idx="5">
                  <c:v>2</c:v>
                </c:pt>
                <c:pt idx="6">
                  <c:v>5</c:v>
                </c:pt>
                <c:pt idx="7">
                  <c:v>10</c:v>
                </c:pt>
                <c:pt idx="8">
                  <c:v>8</c:v>
                </c:pt>
                <c:pt idx="9">
                  <c:v>1</c:v>
                </c:pt>
              </c:numCache>
            </c:numRef>
          </c:val>
          <c:extLst>
            <c:ext xmlns:c16="http://schemas.microsoft.com/office/drawing/2014/chart" uri="{C3380CC4-5D6E-409C-BE32-E72D297353CC}">
              <c16:uniqueId val="{00000009-2607-44B0-89C3-83048B452E10}"/>
            </c:ext>
          </c:extLst>
        </c:ser>
        <c:ser>
          <c:idx val="5"/>
          <c:order val="5"/>
          <c:tx>
            <c:strRef>
              <c:f>'Win and Loss Data'!$G$3:$G$4</c:f>
              <c:strCache>
                <c:ptCount val="1"/>
                <c:pt idx="0">
                  <c:v>Won (D/L)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'Win and Loss Data'!$A$5:$A$15</c:f>
              <c:strCache>
                <c:ptCount val="10"/>
                <c:pt idx="0">
                  <c:v>Afganistan</c:v>
                </c:pt>
                <c:pt idx="1">
                  <c:v>Australia</c:v>
                </c:pt>
                <c:pt idx="2">
                  <c:v>Bangladesh</c:v>
                </c:pt>
                <c:pt idx="3">
                  <c:v>England</c:v>
                </c:pt>
                <c:pt idx="4">
                  <c:v>New Zealand</c:v>
                </c:pt>
                <c:pt idx="5">
                  <c:v>Pakistan</c:v>
                </c:pt>
                <c:pt idx="6">
                  <c:v>South Africa</c:v>
                </c:pt>
                <c:pt idx="7">
                  <c:v>Sri Lanka</c:v>
                </c:pt>
                <c:pt idx="8">
                  <c:v>West Indies</c:v>
                </c:pt>
                <c:pt idx="9">
                  <c:v>Zimbabwe</c:v>
                </c:pt>
              </c:strCache>
            </c:strRef>
          </c:cat>
          <c:val>
            <c:numRef>
              <c:f>'Win and Loss Data'!$G$5:$G$15</c:f>
              <c:numCache>
                <c:formatCode>General</c:formatCode>
                <c:ptCount val="10"/>
                <c:pt idx="8">
                  <c:v>1</c:v>
                </c:pt>
              </c:numCache>
            </c:numRef>
          </c:val>
          <c:extLst>
            <c:ext xmlns:c16="http://schemas.microsoft.com/office/drawing/2014/chart" uri="{C3380CC4-5D6E-409C-BE32-E72D297353CC}">
              <c16:uniqueId val="{0000000A-2607-44B0-89C3-83048B452E10}"/>
            </c:ext>
          </c:extLst>
        </c:ser>
        <c:dLbls>
          <c:showLegendKey val="0"/>
          <c:showVal val="1"/>
          <c:showCatName val="0"/>
          <c:showSerName val="0"/>
          <c:showPercent val="0"/>
          <c:showBubbleSize val="0"/>
        </c:dLbls>
        <c:gapWidth val="150"/>
        <c:shape val="box"/>
        <c:axId val="1097140048"/>
        <c:axId val="1097142128"/>
        <c:axId val="0"/>
      </c:bar3DChart>
      <c:catAx>
        <c:axId val="1097140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7142128"/>
        <c:crosses val="autoZero"/>
        <c:auto val="1"/>
        <c:lblAlgn val="ctr"/>
        <c:lblOffset val="100"/>
        <c:noMultiLvlLbl val="0"/>
      </c:catAx>
      <c:valAx>
        <c:axId val="109714212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714004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[71 CENTURY.xlsx]Venue!PivotTable5</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Ce</a:t>
            </a:r>
            <a:r>
              <a:rPr lang="en-US" baseline="0"/>
              <a:t>NTURIES AT VENUE</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Venue!$B$3</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Venue!$A$4:$A$49</c:f>
              <c:strCache>
                <c:ptCount val="45"/>
                <c:pt idx="0">
                  <c:v>ACA Stadium</c:v>
                </c:pt>
                <c:pt idx="1">
                  <c:v>ACA-VDCA Cricket Stadium</c:v>
                </c:pt>
                <c:pt idx="2">
                  <c:v>Adelaide Oval</c:v>
                </c:pt>
                <c:pt idx="3">
                  <c:v>APCA-VDCA Stadium</c:v>
                </c:pt>
                <c:pt idx="4">
                  <c:v>Basin Reserve</c:v>
                </c:pt>
                <c:pt idx="5">
                  <c:v>Bellerive Oval</c:v>
                </c:pt>
                <c:pt idx="6">
                  <c:v>Dubai International Cricket Stadium</c:v>
                </c:pt>
                <c:pt idx="7">
                  <c:v>Eden Gardens</c:v>
                </c:pt>
                <c:pt idx="8">
                  <c:v>Edgbaston Cricket Ground</c:v>
                </c:pt>
                <c:pt idx="9">
                  <c:v>Feroz Shah Kotla Ground</c:v>
                </c:pt>
                <c:pt idx="10">
                  <c:v>Galle International Stadium</c:v>
                </c:pt>
                <c:pt idx="11">
                  <c:v>Green Park Stadium</c:v>
                </c:pt>
                <c:pt idx="12">
                  <c:v>Harare Sports Club</c:v>
                </c:pt>
                <c:pt idx="13">
                  <c:v>Holkar Stadium</c:v>
                </c:pt>
                <c:pt idx="14">
                  <c:v>HPCA Stadium</c:v>
                </c:pt>
                <c:pt idx="15">
                  <c:v>JSCA International Stadium</c:v>
                </c:pt>
                <c:pt idx="16">
                  <c:v>Khan Shaheb Osman Ali Stadium</c:v>
                </c:pt>
                <c:pt idx="17">
                  <c:v>Kingsmead Cricket Ground</c:v>
                </c:pt>
                <c:pt idx="18">
                  <c:v>M. A. Chidambaram Stadium</c:v>
                </c:pt>
                <c:pt idx="19">
                  <c:v>M. Chinnaswamy Stadium</c:v>
                </c:pt>
                <c:pt idx="20">
                  <c:v>Maharashtra Cricket Association Stadium</c:v>
                </c:pt>
                <c:pt idx="21">
                  <c:v>Manuka Oval</c:v>
                </c:pt>
                <c:pt idx="22">
                  <c:v>McLean Park</c:v>
                </c:pt>
                <c:pt idx="23">
                  <c:v>Melbourne Cricket Ground</c:v>
                </c:pt>
                <c:pt idx="24">
                  <c:v>MRIC Stadium</c:v>
                </c:pt>
                <c:pt idx="25">
                  <c:v>Nehru Stadium</c:v>
                </c:pt>
                <c:pt idx="26">
                  <c:v>Newlands Cricket Ground</c:v>
                </c:pt>
                <c:pt idx="27">
                  <c:v>Perth Stadium</c:v>
                </c:pt>
                <c:pt idx="28">
                  <c:v>Punjab Cricket Association IS Bindra Stadium</c:v>
                </c:pt>
                <c:pt idx="29">
                  <c:v>Queen's Park Oval</c:v>
                </c:pt>
                <c:pt idx="30">
                  <c:v>R. Premadasa Stadium</c:v>
                </c:pt>
                <c:pt idx="31">
                  <c:v>Rajiv Gandhi International Cricket Stadium</c:v>
                </c:pt>
                <c:pt idx="32">
                  <c:v>Sabina Park</c:v>
                </c:pt>
                <c:pt idx="33">
                  <c:v>Saurashtra Cricket Association Stadium</c:v>
                </c:pt>
                <c:pt idx="34">
                  <c:v>Sawai Mansingh Stadium</c:v>
                </c:pt>
                <c:pt idx="35">
                  <c:v>Sher-e-Bangla Cricket Stadium</c:v>
                </c:pt>
                <c:pt idx="36">
                  <c:v>Sir Vivian Richards Stadium</c:v>
                </c:pt>
                <c:pt idx="37">
                  <c:v>Sophia Gardens</c:v>
                </c:pt>
                <c:pt idx="38">
                  <c:v>SuperSport Park</c:v>
                </c:pt>
                <c:pt idx="39">
                  <c:v>Sydney Cricket Ground</c:v>
                </c:pt>
                <c:pt idx="40">
                  <c:v>Trent Bridge</c:v>
                </c:pt>
                <c:pt idx="41">
                  <c:v>VCA Stadium</c:v>
                </c:pt>
                <c:pt idx="42">
                  <c:v>Vidarbha Cricket Association Stadium</c:v>
                </c:pt>
                <c:pt idx="43">
                  <c:v>Wanderers Stadium</c:v>
                </c:pt>
                <c:pt idx="44">
                  <c:v>Wankhede Stadium</c:v>
                </c:pt>
              </c:strCache>
            </c:strRef>
          </c:cat>
          <c:val>
            <c:numRef>
              <c:f>Venue!$B$4:$B$49</c:f>
              <c:numCache>
                <c:formatCode>General</c:formatCode>
                <c:ptCount val="45"/>
                <c:pt idx="0">
                  <c:v>1</c:v>
                </c:pt>
                <c:pt idx="1">
                  <c:v>2</c:v>
                </c:pt>
                <c:pt idx="2">
                  <c:v>5</c:v>
                </c:pt>
                <c:pt idx="3">
                  <c:v>2</c:v>
                </c:pt>
                <c:pt idx="4">
                  <c:v>1</c:v>
                </c:pt>
                <c:pt idx="5">
                  <c:v>1</c:v>
                </c:pt>
                <c:pt idx="6">
                  <c:v>1</c:v>
                </c:pt>
                <c:pt idx="7">
                  <c:v>3</c:v>
                </c:pt>
                <c:pt idx="8">
                  <c:v>1</c:v>
                </c:pt>
                <c:pt idx="9">
                  <c:v>2</c:v>
                </c:pt>
                <c:pt idx="10">
                  <c:v>2</c:v>
                </c:pt>
                <c:pt idx="11">
                  <c:v>1</c:v>
                </c:pt>
                <c:pt idx="12">
                  <c:v>1</c:v>
                </c:pt>
                <c:pt idx="13">
                  <c:v>1</c:v>
                </c:pt>
                <c:pt idx="14">
                  <c:v>1</c:v>
                </c:pt>
                <c:pt idx="15">
                  <c:v>2</c:v>
                </c:pt>
                <c:pt idx="16">
                  <c:v>1</c:v>
                </c:pt>
                <c:pt idx="17">
                  <c:v>1</c:v>
                </c:pt>
                <c:pt idx="18">
                  <c:v>2</c:v>
                </c:pt>
                <c:pt idx="19">
                  <c:v>1</c:v>
                </c:pt>
                <c:pt idx="20">
                  <c:v>3</c:v>
                </c:pt>
                <c:pt idx="21">
                  <c:v>1</c:v>
                </c:pt>
                <c:pt idx="22">
                  <c:v>1</c:v>
                </c:pt>
                <c:pt idx="23">
                  <c:v>2</c:v>
                </c:pt>
                <c:pt idx="24">
                  <c:v>1</c:v>
                </c:pt>
                <c:pt idx="25">
                  <c:v>1</c:v>
                </c:pt>
                <c:pt idx="26">
                  <c:v>1</c:v>
                </c:pt>
                <c:pt idx="27">
                  <c:v>1</c:v>
                </c:pt>
                <c:pt idx="28">
                  <c:v>1</c:v>
                </c:pt>
                <c:pt idx="29">
                  <c:v>3</c:v>
                </c:pt>
                <c:pt idx="30">
                  <c:v>3</c:v>
                </c:pt>
                <c:pt idx="31">
                  <c:v>1</c:v>
                </c:pt>
                <c:pt idx="32">
                  <c:v>1</c:v>
                </c:pt>
                <c:pt idx="33">
                  <c:v>1</c:v>
                </c:pt>
                <c:pt idx="34">
                  <c:v>1</c:v>
                </c:pt>
                <c:pt idx="35">
                  <c:v>4</c:v>
                </c:pt>
                <c:pt idx="36">
                  <c:v>1</c:v>
                </c:pt>
                <c:pt idx="37">
                  <c:v>1</c:v>
                </c:pt>
                <c:pt idx="38">
                  <c:v>2</c:v>
                </c:pt>
                <c:pt idx="39">
                  <c:v>1</c:v>
                </c:pt>
                <c:pt idx="40">
                  <c:v>1</c:v>
                </c:pt>
                <c:pt idx="41">
                  <c:v>1</c:v>
                </c:pt>
                <c:pt idx="42">
                  <c:v>3</c:v>
                </c:pt>
                <c:pt idx="43">
                  <c:v>1</c:v>
                </c:pt>
                <c:pt idx="44">
                  <c:v>2</c:v>
                </c:pt>
              </c:numCache>
            </c:numRef>
          </c:val>
          <c:extLst>
            <c:ext xmlns:c16="http://schemas.microsoft.com/office/drawing/2014/chart" uri="{C3380CC4-5D6E-409C-BE32-E72D297353CC}">
              <c16:uniqueId val="{00000000-CB0B-4B9C-A8E3-DC382696C7BE}"/>
            </c:ext>
          </c:extLst>
        </c:ser>
        <c:dLbls>
          <c:showLegendKey val="0"/>
          <c:showVal val="1"/>
          <c:showCatName val="0"/>
          <c:showSerName val="0"/>
          <c:showPercent val="0"/>
          <c:showBubbleSize val="0"/>
        </c:dLbls>
        <c:gapWidth val="84"/>
        <c:gapDepth val="53"/>
        <c:shape val="box"/>
        <c:axId val="1097144208"/>
        <c:axId val="1097146704"/>
        <c:axId val="0"/>
      </c:bar3DChart>
      <c:catAx>
        <c:axId val="1097144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7146704"/>
        <c:crosses val="autoZero"/>
        <c:auto val="1"/>
        <c:lblAlgn val="ctr"/>
        <c:lblOffset val="100"/>
        <c:noMultiLvlLbl val="0"/>
      </c:catAx>
      <c:valAx>
        <c:axId val="1097146704"/>
        <c:scaling>
          <c:orientation val="minMax"/>
        </c:scaling>
        <c:delete val="1"/>
        <c:axPos val="l"/>
        <c:numFmt formatCode="General" sourceLinked="1"/>
        <c:majorTickMark val="out"/>
        <c:minorTickMark val="none"/>
        <c:tickLblPos val="nextTo"/>
        <c:crossAx val="109714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[71 CENTURY.xlsx]H A!PivotTable1</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bg1"/>
                </a:solidFill>
              </a:rPr>
              <a:t>Home</a:t>
            </a:r>
            <a:r>
              <a:rPr lang="en-US" baseline="0">
                <a:solidFill>
                  <a:schemeClr val="bg1"/>
                </a:solidFill>
              </a:rPr>
              <a:t> Century and foreign centuries</a:t>
            </a:r>
            <a:endParaRPr lang="en-US">
              <a:solidFill>
                <a:schemeClr val="bg1"/>
              </a:solidFill>
            </a:endParaRPr>
          </a:p>
        </c:rich>
      </c:tx>
      <c:layout>
        <c:manualLayout>
          <c:xMode val="edge"/>
          <c:yMode val="edge"/>
          <c:x val="0.18661442224845234"/>
          <c:y val="4.3219597550306216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h="101600" prst="angle"/>
            <a:bevelB w="127000" h="139700"/>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h="101600" prst="angle"/>
            <a:bevelB w="127000" h="139700"/>
            <a:contourClr>
              <a:srgbClr val="000000"/>
            </a:contourClr>
          </a:sp3d>
        </c:spPr>
      </c:pivotFmt>
      <c:pivotFmt>
        <c:idx val="6"/>
        <c:spPr>
          <a:solidFill>
            <a:schemeClr val="accent1"/>
          </a:solidFill>
          <a:ln>
            <a:noFill/>
          </a:ln>
          <a:effectLst/>
          <a:scene3d>
            <a:camera prst="orthographicFront"/>
            <a:lightRig rig="brightRoom" dir="t"/>
          </a:scene3d>
          <a:sp3d prstMaterial="flat">
            <a:bevelT h="101600" prst="angle"/>
            <a:bevelB w="127000" h="139700"/>
            <a:contourClr>
              <a:srgbClr val="000000"/>
            </a:contourClr>
          </a:sp3d>
        </c:spPr>
      </c:pivotFmt>
      <c:pivotFmt>
        <c:idx val="7"/>
        <c:spPr>
          <a:solidFill>
            <a:schemeClr val="accent1"/>
          </a:solidFill>
          <a:ln>
            <a:noFill/>
          </a:ln>
          <a:effectLst/>
          <a:scene3d>
            <a:camera prst="orthographicFront"/>
            <a:lightRig rig="brightRoom" dir="t"/>
          </a:scene3d>
          <a:sp3d prstMaterial="flat">
            <a:bevelT h="101600" prst="angle"/>
            <a:bevelB w="127000" h="139700"/>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h="101600" prst="angle"/>
            <a:bevelB w="127000" h="139700"/>
            <a:contourClr>
              <a:srgbClr val="000000"/>
            </a:contourClr>
          </a:sp3d>
        </c:spPr>
      </c:pivotFmt>
      <c:pivotFmt>
        <c:idx val="9"/>
        <c:spPr>
          <a:solidFill>
            <a:schemeClr val="accent1"/>
          </a:solidFill>
          <a:ln>
            <a:noFill/>
          </a:ln>
          <a:effectLst/>
          <a:scene3d>
            <a:camera prst="orthographicFront"/>
            <a:lightRig rig="brightRoom" dir="t"/>
          </a:scene3d>
          <a:sp3d prstMaterial="flat">
            <a:bevelT h="101600" prst="angle"/>
            <a:bevelB w="127000" h="139700"/>
            <a:contourClr>
              <a:srgbClr val="000000"/>
            </a:contourClr>
          </a:sp3d>
        </c:spPr>
      </c:pivotFmt>
      <c:pivotFmt>
        <c:idx val="10"/>
        <c:spPr>
          <a:solidFill>
            <a:schemeClr val="accent1"/>
          </a:solidFill>
          <a:ln>
            <a:noFill/>
          </a:ln>
          <a:effectLst/>
          <a:scene3d>
            <a:camera prst="orthographicFront"/>
            <a:lightRig rig="brightRoom" dir="t"/>
          </a:scene3d>
          <a:sp3d prstMaterial="flat">
            <a:bevelT h="101600" prst="angle"/>
            <a:bevelB w="127000" h="139700"/>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h="101600" prst="angle"/>
            <a:bevelB w="127000" h="139700"/>
            <a:contourClr>
              <a:srgbClr val="000000"/>
            </a:contourClr>
          </a:sp3d>
        </c:spPr>
      </c:pivotFmt>
      <c:pivotFmt>
        <c:idx val="12"/>
        <c:spPr>
          <a:solidFill>
            <a:schemeClr val="accent1"/>
          </a:solidFill>
          <a:ln>
            <a:noFill/>
          </a:ln>
          <a:effectLst/>
          <a:scene3d>
            <a:camera prst="orthographicFront"/>
            <a:lightRig rig="brightRoom" dir="t"/>
          </a:scene3d>
          <a:sp3d prstMaterial="flat">
            <a:bevelT h="101600" prst="angle"/>
            <a:bevelB w="127000" h="139700"/>
            <a:contourClr>
              <a:srgbClr val="000000"/>
            </a:contourClr>
          </a:sp3d>
        </c:spPr>
      </c:pivotFmt>
    </c:pivotFmts>
    <c:plotArea>
      <c:layout>
        <c:manualLayout>
          <c:layoutTarget val="inner"/>
          <c:xMode val="edge"/>
          <c:yMode val="edge"/>
          <c:x val="0.27633420822397198"/>
          <c:y val="0.25544007561755744"/>
          <c:w val="0.36367305048407411"/>
          <c:h val="0.63847423011030369"/>
        </c:manualLayout>
      </c:layout>
      <c:doughnutChart>
        <c:varyColors val="1"/>
        <c:ser>
          <c:idx val="0"/>
          <c:order val="0"/>
          <c:tx>
            <c:strRef>
              <c:f>'H A'!$B$3</c:f>
              <c:strCache>
                <c:ptCount val="1"/>
                <c:pt idx="0">
                  <c:v>Total</c:v>
                </c:pt>
              </c:strCache>
            </c:strRef>
          </c:tx>
          <c:spPr>
            <a:scene3d>
              <a:camera prst="orthographicFront"/>
              <a:lightRig rig="brightRoom" dir="t"/>
            </a:scene3d>
            <a:sp3d prstMaterial="flat">
              <a:bevelT h="101600" prst="angle"/>
              <a:bevelB w="127000" h="139700"/>
              <a:contourClr>
                <a:srgbClr val="000000"/>
              </a:contourClr>
            </a:sp3d>
          </c:spPr>
          <c:dPt>
            <c:idx val="0"/>
            <c:bubble3D val="0"/>
            <c:spPr>
              <a:solidFill>
                <a:schemeClr val="accent1"/>
              </a:solidFill>
              <a:ln>
                <a:noFill/>
              </a:ln>
              <a:effectLst/>
              <a:scene3d>
                <a:camera prst="orthographicFront"/>
                <a:lightRig rig="brightRoom" dir="t"/>
              </a:scene3d>
              <a:sp3d prstMaterial="flat">
                <a:bevelT h="101600" prst="angle"/>
                <a:bevelB w="127000" h="139700"/>
                <a:contourClr>
                  <a:srgbClr val="000000"/>
                </a:contourClr>
              </a:sp3d>
            </c:spPr>
            <c:extLst>
              <c:ext xmlns:c16="http://schemas.microsoft.com/office/drawing/2014/chart" uri="{C3380CC4-5D6E-409C-BE32-E72D297353CC}">
                <c16:uniqueId val="{00000001-C448-438F-BE72-DBF3AD28749E}"/>
              </c:ext>
            </c:extLst>
          </c:dPt>
          <c:dPt>
            <c:idx val="1"/>
            <c:bubble3D val="0"/>
            <c:spPr>
              <a:solidFill>
                <a:schemeClr val="accent2"/>
              </a:solidFill>
              <a:ln>
                <a:noFill/>
              </a:ln>
              <a:effectLst/>
              <a:scene3d>
                <a:camera prst="orthographicFront"/>
                <a:lightRig rig="brightRoom" dir="t"/>
              </a:scene3d>
              <a:sp3d prstMaterial="flat">
                <a:bevelT h="101600" prst="angle"/>
                <a:bevelB w="127000" h="139700"/>
                <a:contourClr>
                  <a:srgbClr val="000000"/>
                </a:contourClr>
              </a:sp3d>
            </c:spPr>
            <c:extLst>
              <c:ext xmlns:c16="http://schemas.microsoft.com/office/drawing/2014/chart" uri="{C3380CC4-5D6E-409C-BE32-E72D297353CC}">
                <c16:uniqueId val="{00000003-C448-438F-BE72-DBF3AD28749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 A'!$A$4:$A$6</c:f>
              <c:strCache>
                <c:ptCount val="2"/>
                <c:pt idx="0">
                  <c:v>Away</c:v>
                </c:pt>
                <c:pt idx="1">
                  <c:v>Home</c:v>
                </c:pt>
              </c:strCache>
            </c:strRef>
          </c:cat>
          <c:val>
            <c:numRef>
              <c:f>'H A'!$B$4:$B$6</c:f>
              <c:numCache>
                <c:formatCode>General</c:formatCode>
                <c:ptCount val="2"/>
                <c:pt idx="0">
                  <c:v>39</c:v>
                </c:pt>
                <c:pt idx="1">
                  <c:v>32</c:v>
                </c:pt>
              </c:numCache>
            </c:numRef>
          </c:val>
          <c:extLst>
            <c:ext xmlns:c16="http://schemas.microsoft.com/office/drawing/2014/chart" uri="{C3380CC4-5D6E-409C-BE32-E72D297353CC}">
              <c16:uniqueId val="{00000004-C448-438F-BE72-DBF3AD28749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[71 CENTURY.xlsx]Century as a captain!PivotTable2</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6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56848948324513E-2"/>
          <c:y val="2.7739998409289746E-2"/>
          <c:w val="0.82067347964483162"/>
          <c:h val="0.54315358307484296"/>
        </c:manualLayout>
      </c:layout>
      <c:bar3DChart>
        <c:barDir val="col"/>
        <c:grouping val="stacked"/>
        <c:varyColors val="0"/>
        <c:ser>
          <c:idx val="0"/>
          <c:order val="0"/>
          <c:tx>
            <c:strRef>
              <c:f>'Century as a captain'!$B$3:$B$4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'Century as a captain'!$A$5:$A$13</c:f>
              <c:multiLvlStrCache>
                <c:ptCount val="5"/>
                <c:lvl>
                  <c:pt idx="0">
                    <c:v>No</c:v>
                  </c:pt>
                  <c:pt idx="1">
                    <c:v>Yes</c:v>
                  </c:pt>
                  <c:pt idx="2">
                    <c:v>Yes</c:v>
                  </c:pt>
                  <c:pt idx="3">
                    <c:v>No</c:v>
                  </c:pt>
                  <c:pt idx="4">
                    <c:v>Yes</c:v>
                  </c:pt>
                </c:lvl>
                <c:lvl>
                  <c:pt idx="0">
                    <c:v>ODI</c:v>
                  </c:pt>
                  <c:pt idx="2">
                    <c:v>T20I</c:v>
                  </c:pt>
                  <c:pt idx="3">
                    <c:v>Test</c:v>
                  </c:pt>
                </c:lvl>
              </c:multiLvlStrCache>
            </c:multiLvlStrRef>
          </c:cat>
          <c:val>
            <c:numRef>
              <c:f>'Century as a captain'!$B$5:$B$13</c:f>
              <c:numCache>
                <c:formatCode>General</c:formatCode>
                <c:ptCount val="5"/>
                <c:pt idx="0">
                  <c:v>7</c:v>
                </c:pt>
                <c:pt idx="1">
                  <c:v>15</c:v>
                </c:pt>
                <c:pt idx="2">
                  <c:v>1</c:v>
                </c:pt>
                <c:pt idx="3">
                  <c:v>6</c:v>
                </c:pt>
                <c:pt idx="4">
                  <c:v>1</c:v>
                </c:pt>
              </c:numCache>
            </c:numRef>
          </c:val>
          <c:extLst>
            <c:ext xmlns:c16="http://schemas.microsoft.com/office/drawing/2014/chart" uri="{C3380CC4-5D6E-409C-BE32-E72D297353CC}">
              <c16:uniqueId val="{00000000-8ACD-43E8-A037-DF0480A28A3C}"/>
            </c:ext>
          </c:extLst>
        </c:ser>
        <c:ser>
          <c:idx val="1"/>
          <c:order val="1"/>
          <c:tx>
            <c:strRef>
              <c:f>'Century as a captain'!$C$3:$C$4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'Century as a captain'!$A$5:$A$13</c:f>
              <c:multiLvlStrCache>
                <c:ptCount val="5"/>
                <c:lvl>
                  <c:pt idx="0">
                    <c:v>No</c:v>
                  </c:pt>
                  <c:pt idx="1">
                    <c:v>Yes</c:v>
                  </c:pt>
                  <c:pt idx="2">
                    <c:v>Yes</c:v>
                  </c:pt>
                  <c:pt idx="3">
                    <c:v>No</c:v>
                  </c:pt>
                  <c:pt idx="4">
                    <c:v>Yes</c:v>
                  </c:pt>
                </c:lvl>
                <c:lvl>
                  <c:pt idx="0">
                    <c:v>ODI</c:v>
                  </c:pt>
                  <c:pt idx="2">
                    <c:v>T20I</c:v>
                  </c:pt>
                  <c:pt idx="3">
                    <c:v>Test</c:v>
                  </c:pt>
                </c:lvl>
              </c:multiLvlStrCache>
            </c:multiLvlStrRef>
          </c:cat>
          <c:val>
            <c:numRef>
              <c:f>'Century as a captain'!$C$5:$C$13</c:f>
              <c:numCache>
                <c:formatCode>General</c:formatCode>
                <c:ptCount val="5"/>
                <c:pt idx="0">
                  <c:v>7</c:v>
                </c:pt>
                <c:pt idx="1">
                  <c:v>14</c:v>
                </c:pt>
                <c:pt idx="3">
                  <c:v>13</c:v>
                </c:pt>
                <c:pt idx="4">
                  <c:v>7</c:v>
                </c:pt>
              </c:numCache>
            </c:numRef>
          </c:val>
          <c:extLst>
            <c:ext xmlns:c16="http://schemas.microsoft.com/office/drawing/2014/chart" uri="{C3380CC4-5D6E-409C-BE32-E72D297353CC}">
              <c16:uniqueId val="{00000002-4386-4135-9A53-C7B51CEF4ADB}"/>
            </c:ext>
          </c:extLst>
        </c:ser>
        <c:dLbls>
          <c:showLegendKey val="0"/>
          <c:showVal val="1"/>
          <c:showCatName val="0"/>
          <c:showSerName val="0"/>
          <c:showPercent val="0"/>
          <c:showBubbleSize val="0"/>
        </c:dLbls>
        <c:gapWidth val="150"/>
        <c:shape val="box"/>
        <c:axId val="1394726144"/>
        <c:axId val="1394727392"/>
        <c:axId val="0"/>
      </c:bar3DChart>
      <c:catAx>
        <c:axId val="1394726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4727392"/>
        <c:crosses val="autoZero"/>
        <c:auto val="1"/>
        <c:lblAlgn val="ctr"/>
        <c:lblOffset val="100"/>
        <c:noMultiLvlLbl val="0"/>
      </c:catAx>
      <c:valAx>
        <c:axId val="139472739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472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[71 CENTURY.xlsx]Batting Order!PivotTable3</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90"/>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'Batting Order'!$B$3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'Batting Order'!$A$4:$A$9</c:f>
              <c:strCache>
                <c:ptCount val="5"/>
                <c:pt idx="0">
                  <c:v>1</c:v>
                </c:pt>
                <c:pt idx="1">
                  <c:v>3</c:v>
                </c:pt>
                <c:pt idx="2">
                  <c:v>4</c:v>
                </c:pt>
                <c:pt idx="3">
                  <c:v>5</c:v>
                </c:pt>
                <c:pt idx="4">
                  <c:v>6</c:v>
                </c:pt>
              </c:strCache>
            </c:strRef>
          </c:cat>
          <c:val>
            <c:numRef>
              <c:f>'Batting Order'!$B$4:$B$9</c:f>
              <c:numCache>
                <c:formatCode>General</c:formatCode>
                <c:ptCount val="5"/>
                <c:pt idx="0">
                  <c:v>1</c:v>
                </c:pt>
                <c:pt idx="1">
                  <c:v>36</c:v>
                </c:pt>
                <c:pt idx="2">
                  <c:v>30</c:v>
                </c:pt>
                <c:pt idx="3">
                  <c:v>3</c:v>
                </c:pt>
                <c:pt idx="4">
                  <c:v>1</c:v>
                </c:pt>
              </c:numCache>
            </c:numRef>
          </c:val>
          <c:extLst>
            <c:ext xmlns:c16="http://schemas.microsoft.com/office/drawing/2014/chart" uri="{C3380CC4-5D6E-409C-BE32-E72D297353CC}">
              <c16:uniqueId val="{00000000-0346-402E-BB6B-EE7CFFA304FE}"/>
            </c:ext>
          </c:extLst>
        </c:ser>
        <c:dLbls>
          <c:showLegendKey val="0"/>
          <c:showVal val="1"/>
          <c:showCatName val="0"/>
          <c:showSerName val="0"/>
          <c:showPercent val="0"/>
          <c:showBubbleSize val="0"/>
        </c:dLbls>
        <c:gapWidth val="150"/>
        <c:shape val="box"/>
        <c:axId val="1390760416"/>
        <c:axId val="1390760832"/>
        <c:axId val="1579949536"/>
      </c:bar3DChart>
      <c:catAx>
        <c:axId val="1390760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0760832"/>
        <c:crosses val="autoZero"/>
        <c:auto val="1"/>
        <c:lblAlgn val="ctr"/>
        <c:lblOffset val="100"/>
        <c:noMultiLvlLbl val="0"/>
      </c:catAx>
      <c:valAx>
        <c:axId val="139076083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0760416"/>
        <c:crosses val="autoZero"/>
        <c:crossBetween val="between"/>
      </c:valAx>
      <c:serAx>
        <c:axId val="157994953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076083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[71 CENTURY.xlsx]Win and Loss Data!PivotTable4</c:name>
    <c:fmtId val="8"/>
  </c:pivotSource>
  <c:chart>
    <c:autoTitleDeleted val="0"/>
    <c:pivotFmts>
      <c:pivotFmt>
        <c:idx val="0"/>
        <c:spPr>
          <a:solidFill>
            <a:srgbClr val="7030A0"/>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7030A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7030A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7030A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'Win and Loss Data'!$B$3:$B$4</c:f>
              <c:strCache>
                <c:ptCount val="1"/>
                <c:pt idx="0">
                  <c:v>Drawn</c:v>
                </c:pt>
              </c:strCache>
            </c:strRef>
          </c:tx>
          <c:spPr>
            <a:solidFill>
              <a:srgbClr val="7030A0"/>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'Win and Loss Data'!$A$5:$A$15</c:f>
              <c:strCache>
                <c:ptCount val="10"/>
                <c:pt idx="0">
                  <c:v>Afganistan</c:v>
                </c:pt>
                <c:pt idx="1">
                  <c:v>Australia</c:v>
                </c:pt>
                <c:pt idx="2">
                  <c:v>Bangladesh</c:v>
                </c:pt>
                <c:pt idx="3">
                  <c:v>England</c:v>
                </c:pt>
                <c:pt idx="4">
                  <c:v>New Zealand</c:v>
                </c:pt>
                <c:pt idx="5">
                  <c:v>Pakistan</c:v>
                </c:pt>
                <c:pt idx="6">
                  <c:v>South Africa</c:v>
                </c:pt>
                <c:pt idx="7">
                  <c:v>Sri Lanka</c:v>
                </c:pt>
                <c:pt idx="8">
                  <c:v>West Indies</c:v>
                </c:pt>
                <c:pt idx="9">
                  <c:v>Zimbabwe</c:v>
                </c:pt>
              </c:strCache>
            </c:strRef>
          </c:cat>
          <c:val>
            <c:numRef>
              <c:f>'Win and Loss Data'!$B$5:$B$15</c:f>
              <c:numCache>
                <c:formatCode>General</c:formatCode>
                <c:ptCount val="10"/>
                <c:pt idx="1">
                  <c:v>2</c:v>
                </c:pt>
                <c:pt idx="3">
                  <c:v>1</c:v>
                </c:pt>
                <c:pt idx="4">
                  <c:v>1</c:v>
                </c:pt>
                <c:pt idx="6">
                  <c:v>1</c:v>
                </c:pt>
                <c:pt idx="7">
                  <c:v>2</c:v>
                </c:pt>
              </c:numCache>
            </c:numRef>
          </c:val>
          <c:extLst>
            <c:ext xmlns:c16="http://schemas.microsoft.com/office/drawing/2014/chart" uri="{C3380CC4-5D6E-409C-BE32-E72D297353CC}">
              <c16:uniqueId val="{00000000-0EC1-4C1E-81C0-8723C2B7351A}"/>
            </c:ext>
          </c:extLst>
        </c:ser>
        <c:ser>
          <c:idx val="1"/>
          <c:order val="1"/>
          <c:tx>
            <c:strRef>
              <c:f>'Win and Loss Data'!$C$3:$C$4</c:f>
              <c:strCache>
                <c:ptCount val="1"/>
                <c:pt idx="0">
                  <c:v>Lost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'Win and Loss Data'!$A$5:$A$15</c:f>
              <c:strCache>
                <c:ptCount val="10"/>
                <c:pt idx="0">
                  <c:v>Afganistan</c:v>
                </c:pt>
                <c:pt idx="1">
                  <c:v>Australia</c:v>
                </c:pt>
                <c:pt idx="2">
                  <c:v>Bangladesh</c:v>
                </c:pt>
                <c:pt idx="3">
                  <c:v>England</c:v>
                </c:pt>
                <c:pt idx="4">
                  <c:v>New Zealand</c:v>
                </c:pt>
                <c:pt idx="5">
                  <c:v>Pakistan</c:v>
                </c:pt>
                <c:pt idx="6">
                  <c:v>South Africa</c:v>
                </c:pt>
                <c:pt idx="7">
                  <c:v>Sri Lanka</c:v>
                </c:pt>
                <c:pt idx="8">
                  <c:v>West Indies</c:v>
                </c:pt>
                <c:pt idx="9">
                  <c:v>Zimbabwe</c:v>
                </c:pt>
              </c:strCache>
            </c:strRef>
          </c:cat>
          <c:val>
            <c:numRef>
              <c:f>'Win and Loss Data'!$C$5:$C$15</c:f>
              <c:numCache>
                <c:formatCode>General</c:formatCode>
                <c:ptCount val="10"/>
                <c:pt idx="1">
                  <c:v>7</c:v>
                </c:pt>
                <c:pt idx="3">
                  <c:v>1</c:v>
                </c:pt>
                <c:pt idx="4">
                  <c:v>2</c:v>
                </c:pt>
                <c:pt idx="6">
                  <c:v>1</c:v>
                </c:pt>
                <c:pt idx="7">
                  <c:v>1</c:v>
                </c:pt>
                <c:pt idx="8">
                  <c:v>1</c:v>
                </c:pt>
              </c:numCache>
            </c:numRef>
          </c:val>
          <c:extLst>
            <c:ext xmlns:c16="http://schemas.microsoft.com/office/drawing/2014/chart" uri="{C3380CC4-5D6E-409C-BE32-E72D297353CC}">
              <c16:uniqueId val="{00000006-F6D4-4B3D-BEC9-343B608F0EC8}"/>
            </c:ext>
          </c:extLst>
        </c:ser>
        <c:ser>
          <c:idx val="2"/>
          <c:order val="2"/>
          <c:tx>
            <c:strRef>
              <c:f>'Win and Loss Data'!$D$3:$D$4</c:f>
              <c:strCache>
                <c:ptCount val="1"/>
                <c:pt idx="0">
                  <c:v>Lost (D/L)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'Win and Loss Data'!$A$5:$A$15</c:f>
              <c:strCache>
                <c:ptCount val="10"/>
                <c:pt idx="0">
                  <c:v>Afganistan</c:v>
                </c:pt>
                <c:pt idx="1">
                  <c:v>Australia</c:v>
                </c:pt>
                <c:pt idx="2">
                  <c:v>Bangladesh</c:v>
                </c:pt>
                <c:pt idx="3">
                  <c:v>England</c:v>
                </c:pt>
                <c:pt idx="4">
                  <c:v>New Zealand</c:v>
                </c:pt>
                <c:pt idx="5">
                  <c:v>Pakistan</c:v>
                </c:pt>
                <c:pt idx="6">
                  <c:v>South Africa</c:v>
                </c:pt>
                <c:pt idx="7">
                  <c:v>Sri Lanka</c:v>
                </c:pt>
                <c:pt idx="8">
                  <c:v>West Indies</c:v>
                </c:pt>
                <c:pt idx="9">
                  <c:v>Zimbabwe</c:v>
                </c:pt>
              </c:strCache>
            </c:strRef>
          </c:cat>
          <c:val>
            <c:numRef>
              <c:f>'Win and Loss Data'!$D$5:$D$15</c:f>
              <c:numCache>
                <c:formatCode>General</c:formatCode>
                <c:ptCount val="10"/>
                <c:pt idx="3">
                  <c:v>1</c:v>
                </c:pt>
              </c:numCache>
            </c:numRef>
          </c:val>
          <c:extLst>
            <c:ext xmlns:c16="http://schemas.microsoft.com/office/drawing/2014/chart" uri="{C3380CC4-5D6E-409C-BE32-E72D297353CC}">
              <c16:uniqueId val="{00000007-F6D4-4B3D-BEC9-343B608F0EC8}"/>
            </c:ext>
          </c:extLst>
        </c:ser>
        <c:ser>
          <c:idx val="3"/>
          <c:order val="3"/>
          <c:tx>
            <c:strRef>
              <c:f>'Win and Loss Data'!$E$3:$E$4</c:f>
              <c:strCache>
                <c:ptCount val="1"/>
                <c:pt idx="0">
                  <c:v>Tied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'Win and Loss Data'!$A$5:$A$15</c:f>
              <c:strCache>
                <c:ptCount val="10"/>
                <c:pt idx="0">
                  <c:v>Afganistan</c:v>
                </c:pt>
                <c:pt idx="1">
                  <c:v>Australia</c:v>
                </c:pt>
                <c:pt idx="2">
                  <c:v>Bangladesh</c:v>
                </c:pt>
                <c:pt idx="3">
                  <c:v>England</c:v>
                </c:pt>
                <c:pt idx="4">
                  <c:v>New Zealand</c:v>
                </c:pt>
                <c:pt idx="5">
                  <c:v>Pakistan</c:v>
                </c:pt>
                <c:pt idx="6">
                  <c:v>South Africa</c:v>
                </c:pt>
                <c:pt idx="7">
                  <c:v>Sri Lanka</c:v>
                </c:pt>
                <c:pt idx="8">
                  <c:v>West Indies</c:v>
                </c:pt>
                <c:pt idx="9">
                  <c:v>Zimbabwe</c:v>
                </c:pt>
              </c:strCache>
            </c:strRef>
          </c:cat>
          <c:val>
            <c:numRef>
              <c:f>'Win and Loss Data'!$E$5:$E$15</c:f>
              <c:numCache>
                <c:formatCode>General</c:formatCode>
                <c:ptCount val="10"/>
                <c:pt idx="8">
                  <c:v>1</c:v>
                </c:pt>
              </c:numCache>
            </c:numRef>
          </c:val>
          <c:extLst>
            <c:ext xmlns:c16="http://schemas.microsoft.com/office/drawing/2014/chart" uri="{C3380CC4-5D6E-409C-BE32-E72D297353CC}">
              <c16:uniqueId val="{00000008-F6D4-4B3D-BEC9-343B608F0EC8}"/>
            </c:ext>
          </c:extLst>
        </c:ser>
        <c:ser>
          <c:idx val="4"/>
          <c:order val="4"/>
          <c:tx>
            <c:strRef>
              <c:f>'Win and Loss Data'!$F$3:$F$4</c:f>
              <c:strCache>
                <c:ptCount val="1"/>
                <c:pt idx="0">
                  <c:v>Won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'Win and Loss Data'!$A$5:$A$15</c:f>
              <c:strCache>
                <c:ptCount val="10"/>
                <c:pt idx="0">
                  <c:v>Afganistan</c:v>
                </c:pt>
                <c:pt idx="1">
                  <c:v>Australia</c:v>
                </c:pt>
                <c:pt idx="2">
                  <c:v>Bangladesh</c:v>
                </c:pt>
                <c:pt idx="3">
                  <c:v>England</c:v>
                </c:pt>
                <c:pt idx="4">
                  <c:v>New Zealand</c:v>
                </c:pt>
                <c:pt idx="5">
                  <c:v>Pakistan</c:v>
                </c:pt>
                <c:pt idx="6">
                  <c:v>South Africa</c:v>
                </c:pt>
                <c:pt idx="7">
                  <c:v>Sri Lanka</c:v>
                </c:pt>
                <c:pt idx="8">
                  <c:v>West Indies</c:v>
                </c:pt>
                <c:pt idx="9">
                  <c:v>Zimbabwe</c:v>
                </c:pt>
              </c:strCache>
            </c:strRef>
          </c:cat>
          <c:val>
            <c:numRef>
              <c:f>'Win and Loss Data'!$F$5:$F$15</c:f>
              <c:numCache>
                <c:formatCode>General</c:formatCode>
                <c:ptCount val="10"/>
                <c:pt idx="0">
                  <c:v>1</c:v>
                </c:pt>
                <c:pt idx="1">
                  <c:v>6</c:v>
                </c:pt>
                <c:pt idx="2">
                  <c:v>5</c:v>
                </c:pt>
                <c:pt idx="3">
                  <c:v>5</c:v>
                </c:pt>
                <c:pt idx="4">
                  <c:v>5</c:v>
                </c:pt>
                <c:pt idx="5">
                  <c:v>2</c:v>
                </c:pt>
                <c:pt idx="6">
                  <c:v>5</c:v>
                </c:pt>
                <c:pt idx="7">
                  <c:v>10</c:v>
                </c:pt>
                <c:pt idx="8">
                  <c:v>8</c:v>
                </c:pt>
                <c:pt idx="9">
                  <c:v>1</c:v>
                </c:pt>
              </c:numCache>
            </c:numRef>
          </c:val>
          <c:extLst>
            <c:ext xmlns:c16="http://schemas.microsoft.com/office/drawing/2014/chart" uri="{C3380CC4-5D6E-409C-BE32-E72D297353CC}">
              <c16:uniqueId val="{00000009-F6D4-4B3D-BEC9-343B608F0EC8}"/>
            </c:ext>
          </c:extLst>
        </c:ser>
        <c:ser>
          <c:idx val="5"/>
          <c:order val="5"/>
          <c:tx>
            <c:strRef>
              <c:f>'Win and Loss Data'!$G$3:$G$4</c:f>
              <c:strCache>
                <c:ptCount val="1"/>
                <c:pt idx="0">
                  <c:v>Won (D/L)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'Win and Loss Data'!$A$5:$A$15</c:f>
              <c:strCache>
                <c:ptCount val="10"/>
                <c:pt idx="0">
                  <c:v>Afganistan</c:v>
                </c:pt>
                <c:pt idx="1">
                  <c:v>Australia</c:v>
                </c:pt>
                <c:pt idx="2">
                  <c:v>Bangladesh</c:v>
                </c:pt>
                <c:pt idx="3">
                  <c:v>England</c:v>
                </c:pt>
                <c:pt idx="4">
                  <c:v>New Zealand</c:v>
                </c:pt>
                <c:pt idx="5">
                  <c:v>Pakistan</c:v>
                </c:pt>
                <c:pt idx="6">
                  <c:v>South Africa</c:v>
                </c:pt>
                <c:pt idx="7">
                  <c:v>Sri Lanka</c:v>
                </c:pt>
                <c:pt idx="8">
                  <c:v>West Indies</c:v>
                </c:pt>
                <c:pt idx="9">
                  <c:v>Zimbabwe</c:v>
                </c:pt>
              </c:strCache>
            </c:strRef>
          </c:cat>
          <c:val>
            <c:numRef>
              <c:f>'Win and Loss Data'!$G$5:$G$15</c:f>
              <c:numCache>
                <c:formatCode>General</c:formatCode>
                <c:ptCount val="10"/>
                <c:pt idx="8">
                  <c:v>1</c:v>
                </c:pt>
              </c:numCache>
            </c:numRef>
          </c:val>
          <c:extLst>
            <c:ext xmlns:c16="http://schemas.microsoft.com/office/drawing/2014/chart" uri="{C3380CC4-5D6E-409C-BE32-E72D297353CC}">
              <c16:uniqueId val="{0000000A-F6D4-4B3D-BEC9-343B608F0EC8}"/>
            </c:ext>
          </c:extLst>
        </c:ser>
        <c:dLbls>
          <c:showLegendKey val="0"/>
          <c:showVal val="1"/>
          <c:showCatName val="0"/>
          <c:showSerName val="0"/>
          <c:showPercent val="0"/>
          <c:showBubbleSize val="0"/>
        </c:dLbls>
        <c:gapWidth val="150"/>
        <c:shape val="box"/>
        <c:axId val="1097140048"/>
        <c:axId val="1097142128"/>
        <c:axId val="0"/>
      </c:bar3DChart>
      <c:catAx>
        <c:axId val="1097140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7142128"/>
        <c:crosses val="autoZero"/>
        <c:auto val="1"/>
        <c:lblAlgn val="ctr"/>
        <c:lblOffset val="100"/>
        <c:noMultiLvlLbl val="0"/>
      </c:catAx>
      <c:valAx>
        <c:axId val="109714212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714004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[71 CENTURY.xlsx]Venue!PivotTable5</c:name>
    <c:fmtId val="8"/>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Ce</a:t>
            </a:r>
            <a:r>
              <a:rPr lang="en-US" baseline="0"/>
              <a:t>NTURIES AT VENUE</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24143070044709E-2"/>
          <c:y val="1.92295343815968E-3"/>
          <c:w val="0.92063252246226301"/>
          <c:h val="0.39731653382776694"/>
        </c:manualLayout>
      </c:layout>
      <c:bar3DChart>
        <c:barDir val="col"/>
        <c:grouping val="clustered"/>
        <c:varyColors val="0"/>
        <c:ser>
          <c:idx val="0"/>
          <c:order val="0"/>
          <c:tx>
            <c:strRef>
              <c:f>Venue!$B$3</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Venue!$A$4:$A$49</c:f>
              <c:strCache>
                <c:ptCount val="45"/>
                <c:pt idx="0">
                  <c:v>ACA Stadium</c:v>
                </c:pt>
                <c:pt idx="1">
                  <c:v>ACA-VDCA Cricket Stadium</c:v>
                </c:pt>
                <c:pt idx="2">
                  <c:v>Adelaide Oval</c:v>
                </c:pt>
                <c:pt idx="3">
                  <c:v>APCA-VDCA Stadium</c:v>
                </c:pt>
                <c:pt idx="4">
                  <c:v>Basin Reserve</c:v>
                </c:pt>
                <c:pt idx="5">
                  <c:v>Bellerive Oval</c:v>
                </c:pt>
                <c:pt idx="6">
                  <c:v>Dubai International Cricket Stadium</c:v>
                </c:pt>
                <c:pt idx="7">
                  <c:v>Eden Gardens</c:v>
                </c:pt>
                <c:pt idx="8">
                  <c:v>Edgbaston Cricket Ground</c:v>
                </c:pt>
                <c:pt idx="9">
                  <c:v>Feroz Shah Kotla Ground</c:v>
                </c:pt>
                <c:pt idx="10">
                  <c:v>Galle International Stadium</c:v>
                </c:pt>
                <c:pt idx="11">
                  <c:v>Green Park Stadium</c:v>
                </c:pt>
                <c:pt idx="12">
                  <c:v>Harare Sports Club</c:v>
                </c:pt>
                <c:pt idx="13">
                  <c:v>Holkar Stadium</c:v>
                </c:pt>
                <c:pt idx="14">
                  <c:v>HPCA Stadium</c:v>
                </c:pt>
                <c:pt idx="15">
                  <c:v>JSCA International Stadium</c:v>
                </c:pt>
                <c:pt idx="16">
                  <c:v>Khan Shaheb Osman Ali Stadium</c:v>
                </c:pt>
                <c:pt idx="17">
                  <c:v>Kingsmead Cricket Ground</c:v>
                </c:pt>
                <c:pt idx="18">
                  <c:v>M. A. Chidambaram Stadium</c:v>
                </c:pt>
                <c:pt idx="19">
                  <c:v>M. Chinnaswamy Stadium</c:v>
                </c:pt>
                <c:pt idx="20">
                  <c:v>Maharashtra Cricket Association Stadium</c:v>
                </c:pt>
                <c:pt idx="21">
                  <c:v>Manuka Oval</c:v>
                </c:pt>
                <c:pt idx="22">
                  <c:v>McLean Park</c:v>
                </c:pt>
                <c:pt idx="23">
                  <c:v>Melbourne Cricket Ground</c:v>
                </c:pt>
                <c:pt idx="24">
                  <c:v>MRIC Stadium</c:v>
                </c:pt>
                <c:pt idx="25">
                  <c:v>Nehru Stadium</c:v>
                </c:pt>
                <c:pt idx="26">
                  <c:v>Newlands Cricket Ground</c:v>
                </c:pt>
                <c:pt idx="27">
                  <c:v>Perth Stadium</c:v>
                </c:pt>
                <c:pt idx="28">
                  <c:v>Punjab Cricket Association IS Bindra Stadium</c:v>
                </c:pt>
                <c:pt idx="29">
                  <c:v>Queen's Park Oval</c:v>
                </c:pt>
                <c:pt idx="30">
                  <c:v>R. Premadasa Stadium</c:v>
                </c:pt>
                <c:pt idx="31">
                  <c:v>Rajiv Gandhi International Cricket Stadium</c:v>
                </c:pt>
                <c:pt idx="32">
                  <c:v>Sabina Park</c:v>
                </c:pt>
                <c:pt idx="33">
                  <c:v>Saurashtra Cricket Association Stadium</c:v>
                </c:pt>
                <c:pt idx="34">
                  <c:v>Sawai Mansingh Stadium</c:v>
                </c:pt>
                <c:pt idx="35">
                  <c:v>Sher-e-Bangla Cricket Stadium</c:v>
                </c:pt>
                <c:pt idx="36">
                  <c:v>Sir Vivian Richards Stadium</c:v>
                </c:pt>
                <c:pt idx="37">
                  <c:v>Sophia Gardens</c:v>
                </c:pt>
                <c:pt idx="38">
                  <c:v>SuperSport Park</c:v>
                </c:pt>
                <c:pt idx="39">
                  <c:v>Sydney Cricket Ground</c:v>
                </c:pt>
                <c:pt idx="40">
                  <c:v>Trent Bridge</c:v>
                </c:pt>
                <c:pt idx="41">
                  <c:v>VCA Stadium</c:v>
                </c:pt>
                <c:pt idx="42">
                  <c:v>Vidarbha Cricket Association Stadium</c:v>
                </c:pt>
                <c:pt idx="43">
                  <c:v>Wanderers Stadium</c:v>
                </c:pt>
                <c:pt idx="44">
                  <c:v>Wankhede Stadium</c:v>
                </c:pt>
              </c:strCache>
            </c:strRef>
          </c:cat>
          <c:val>
            <c:numRef>
              <c:f>Venue!$B$4:$B$49</c:f>
              <c:numCache>
                <c:formatCode>General</c:formatCode>
                <c:ptCount val="45"/>
                <c:pt idx="0">
                  <c:v>1</c:v>
                </c:pt>
                <c:pt idx="1">
                  <c:v>2</c:v>
                </c:pt>
                <c:pt idx="2">
                  <c:v>5</c:v>
                </c:pt>
                <c:pt idx="3">
                  <c:v>2</c:v>
                </c:pt>
                <c:pt idx="4">
                  <c:v>1</c:v>
                </c:pt>
                <c:pt idx="5">
                  <c:v>1</c:v>
                </c:pt>
                <c:pt idx="6">
                  <c:v>1</c:v>
                </c:pt>
                <c:pt idx="7">
                  <c:v>3</c:v>
                </c:pt>
                <c:pt idx="8">
                  <c:v>1</c:v>
                </c:pt>
                <c:pt idx="9">
                  <c:v>2</c:v>
                </c:pt>
                <c:pt idx="10">
                  <c:v>2</c:v>
                </c:pt>
                <c:pt idx="11">
                  <c:v>1</c:v>
                </c:pt>
                <c:pt idx="12">
                  <c:v>1</c:v>
                </c:pt>
                <c:pt idx="13">
                  <c:v>1</c:v>
                </c:pt>
                <c:pt idx="14">
                  <c:v>1</c:v>
                </c:pt>
                <c:pt idx="15">
                  <c:v>2</c:v>
                </c:pt>
                <c:pt idx="16">
                  <c:v>1</c:v>
                </c:pt>
                <c:pt idx="17">
                  <c:v>1</c:v>
                </c:pt>
                <c:pt idx="18">
                  <c:v>2</c:v>
                </c:pt>
                <c:pt idx="19">
                  <c:v>1</c:v>
                </c:pt>
                <c:pt idx="20">
                  <c:v>3</c:v>
                </c:pt>
                <c:pt idx="21">
                  <c:v>1</c:v>
                </c:pt>
                <c:pt idx="22">
                  <c:v>1</c:v>
                </c:pt>
                <c:pt idx="23">
                  <c:v>2</c:v>
                </c:pt>
                <c:pt idx="24">
                  <c:v>1</c:v>
                </c:pt>
                <c:pt idx="25">
                  <c:v>1</c:v>
                </c:pt>
                <c:pt idx="26">
                  <c:v>1</c:v>
                </c:pt>
                <c:pt idx="27">
                  <c:v>1</c:v>
                </c:pt>
                <c:pt idx="28">
                  <c:v>1</c:v>
                </c:pt>
                <c:pt idx="29">
                  <c:v>3</c:v>
                </c:pt>
                <c:pt idx="30">
                  <c:v>3</c:v>
                </c:pt>
                <c:pt idx="31">
                  <c:v>1</c:v>
                </c:pt>
                <c:pt idx="32">
                  <c:v>1</c:v>
                </c:pt>
                <c:pt idx="33">
                  <c:v>1</c:v>
                </c:pt>
                <c:pt idx="34">
                  <c:v>1</c:v>
                </c:pt>
                <c:pt idx="35">
                  <c:v>4</c:v>
                </c:pt>
                <c:pt idx="36">
                  <c:v>1</c:v>
                </c:pt>
                <c:pt idx="37">
                  <c:v>1</c:v>
                </c:pt>
                <c:pt idx="38">
                  <c:v>2</c:v>
                </c:pt>
                <c:pt idx="39">
                  <c:v>1</c:v>
                </c:pt>
                <c:pt idx="40">
                  <c:v>1</c:v>
                </c:pt>
                <c:pt idx="41">
                  <c:v>1</c:v>
                </c:pt>
                <c:pt idx="42">
                  <c:v>3</c:v>
                </c:pt>
                <c:pt idx="43">
                  <c:v>1</c:v>
                </c:pt>
                <c:pt idx="44">
                  <c:v>2</c:v>
                </c:pt>
              </c:numCache>
            </c:numRef>
          </c:val>
          <c:extLst>
            <c:ext xmlns:c16="http://schemas.microsoft.com/office/drawing/2014/chart" uri="{C3380CC4-5D6E-409C-BE32-E72D297353CC}">
              <c16:uniqueId val="{00000000-8249-4F4E-890A-95424AEBB371}"/>
            </c:ext>
          </c:extLst>
        </c:ser>
        <c:dLbls>
          <c:showLegendKey val="0"/>
          <c:showVal val="1"/>
          <c:showCatName val="0"/>
          <c:showSerName val="0"/>
          <c:showPercent val="0"/>
          <c:showBubbleSize val="0"/>
        </c:dLbls>
        <c:gapWidth val="84"/>
        <c:gapDepth val="53"/>
        <c:shape val="box"/>
        <c:axId val="1097144208"/>
        <c:axId val="1097146704"/>
        <c:axId val="0"/>
      </c:bar3DChart>
      <c:catAx>
        <c:axId val="1097144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75000"/>
                  </a:schemeClr>
                </a:solidFill>
                <a:latin typeface="+mn-lt"/>
                <a:ea typeface="+mn-ea"/>
                <a:cs typeface="+mn-cs"/>
              </a:defRPr>
            </a:pPr>
            <a:endParaRPr lang="en-US"/>
          </a:p>
        </c:txPr>
        <c:crossAx val="1097146704"/>
        <c:crosses val="autoZero"/>
        <c:auto val="1"/>
        <c:lblAlgn val="ctr"/>
        <c:lblOffset val="100"/>
        <c:noMultiLvlLbl val="0"/>
      </c:catAx>
      <c:valAx>
        <c:axId val="1097146704"/>
        <c:scaling>
          <c:orientation val="minMax"/>
        </c:scaling>
        <c:delete val="1"/>
        <c:axPos val="l"/>
        <c:numFmt formatCode="General" sourceLinked="1"/>
        <c:majorTickMark val="out"/>
        <c:minorTickMark val="none"/>
        <c:tickLblPos val="nextTo"/>
        <c:crossAx val="109714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YEARLY CENTURIES</cx:v>
        </cx:txData>
      </cx:tx>
      <cx:txPr>
        <a:bodyPr spcFirstLastPara="1" vertOverflow="ellipsis" horzOverflow="overflow" wrap="square" lIns="0" tIns="0" rIns="0" bIns="0" anchor="ctr" anchorCtr="1"/>
        <a:lstStyle/>
        <a:p>
          <a:pPr algn="ctr" rtl="0">
            <a:defRPr/>
          </a:pPr>
          <a:r>
            <a:rPr lang="en-US" sz="1600" b="1" i="0" u="none" strike="noStrike" cap="all" baseline="0">
              <a:solidFill>
                <a:schemeClr val="bg1"/>
              </a:solidFill>
              <a:latin typeface="Calibri" panose="020F0502020204030204"/>
            </a:rPr>
            <a:t>YEARLY CENTURIES</a:t>
          </a:r>
        </a:p>
      </cx:txPr>
    </cx:title>
    <cx:plotArea>
      <cx:plotAreaRegion>
        <cx:series layoutId="treemap" uniqueId="{3C0DE888-5A44-4F54-A536-D7746F79AAA4}">
          <cx:dataLabels pos="ctr">
            <cx:visibility seriesName="0" categoryName="1" value="1"/>
            <cx:separator>
</cx:separator>
          </cx:dataLabels>
          <cx:dataId val="0"/>
          <cx:layoutPr>
            <cx:parentLabelLayout val="overlapping"/>
          </cx:layoutPr>
        </cx:series>
      </cx:plotAreaRegion>
    </cx:plotArea>
  </cx:chart>
  <cx:spPr>
    <a:solidFill>
      <a:schemeClr val="tx1">
        <a:lumMod val="75000"/>
        <a:lumOff val="25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YEARLY CENTURIES</cx:v>
        </cx:txData>
      </cx:tx>
      <cx:txPr>
        <a:bodyPr spcFirstLastPara="1" vertOverflow="ellipsis" horzOverflow="overflow" wrap="square" lIns="0" tIns="0" rIns="0" bIns="0" anchor="ctr" anchorCtr="1"/>
        <a:lstStyle/>
        <a:p>
          <a:pPr algn="ctr" rtl="0">
            <a:defRPr/>
          </a:pPr>
          <a:r>
            <a:rPr lang="en-US" sz="1600" b="1" i="0" u="none" strike="noStrike" cap="all" baseline="0">
              <a:solidFill>
                <a:schemeClr val="bg1"/>
              </a:solidFill>
              <a:latin typeface="Calibri" panose="020F0502020204030204"/>
            </a:rPr>
            <a:t>YEARLY CENTURIES</a:t>
          </a:r>
        </a:p>
      </cx:txPr>
    </cx:title>
    <cx:plotArea>
      <cx:plotAreaRegion>
        <cx:series layoutId="treemap" uniqueId="{3C0DE888-5A44-4F54-A536-D7746F79AAA4}">
          <cx:dataLabels pos="ctr">
            <cx:visibility seriesName="0" categoryName="1" value="1"/>
            <cx:separator>
</cx:separator>
          </cx:dataLabels>
          <cx:dataId val="0"/>
          <cx:layoutPr>
            <cx:parentLabelLayout val="overlapping"/>
          </cx:layoutPr>
        </cx:series>
      </cx:plotAreaRegion>
    </cx:plotArea>
  </cx:chart>
  <cx:spPr>
    <a:solidFill>
      <a:schemeClr val="tx1">
        <a:lumMod val="75000"/>
        <a:lumOff val="2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2.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microsoft.com/office/2014/relationships/chartEx" Target="../charts/chartEx2.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243840</xdr:colOff>
      <xdr:row>6</xdr:row>
      <xdr:rowOff>160020</xdr:rowOff>
    </xdr:from>
    <xdr:to>
      <xdr:col>23</xdr:col>
      <xdr:colOff>152400</xdr:colOff>
      <xdr:row>21</xdr:row>
      <xdr:rowOff>160020</xdr:rowOff>
    </xdr:to>
    <xdr:graphicFrame macro="">
      <xdr:nvGraphicFramePr>
        <xdr:cNvPr id="2" name="Chart 1">
          <a:extLst>
            <a:ext uri="{FF2B5EF4-FFF2-40B4-BE49-F238E27FC236}">
              <a16:creationId xmlns:a16="http://schemas.microsoft.com/office/drawing/2014/main" id="{9D41D654-42E6-A5A8-03E0-C2962FF071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144780</xdr:colOff>
      <xdr:row>7</xdr:row>
      <xdr:rowOff>76200</xdr:rowOff>
    </xdr:from>
    <xdr:to>
      <xdr:col>31</xdr:col>
      <xdr:colOff>53340</xdr:colOff>
      <xdr:row>20</xdr:row>
      <xdr:rowOff>165735</xdr:rowOff>
    </xdr:to>
    <mc:AlternateContent xmlns:mc="http://schemas.openxmlformats.org/markup-compatibility/2006">
      <mc:Choice xmlns:a14="http://schemas.microsoft.com/office/drawing/2010/main" Requires="a14">
        <xdr:graphicFrame macro="">
          <xdr:nvGraphicFramePr>
            <xdr:cNvPr id="3" name="Years">
              <a:extLst>
                <a:ext uri="{FF2B5EF4-FFF2-40B4-BE49-F238E27FC236}">
                  <a16:creationId xmlns:a16="http://schemas.microsoft.com/office/drawing/2014/main" id="{E8B34554-49EA-6D39-F7CC-FD37DFE7AB50}"/>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7741920" y="1356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22860</xdr:colOff>
      <xdr:row>1</xdr:row>
      <xdr:rowOff>175260</xdr:rowOff>
    </xdr:from>
    <xdr:to>
      <xdr:col>16</xdr:col>
      <xdr:colOff>76200</xdr:colOff>
      <xdr:row>24</xdr:row>
      <xdr:rowOff>7620</xdr:rowOff>
    </xdr:to>
    <xdr:graphicFrame macro="">
      <xdr:nvGraphicFramePr>
        <xdr:cNvPr id="2" name="Chart 1">
          <a:extLst>
            <a:ext uri="{FF2B5EF4-FFF2-40B4-BE49-F238E27FC236}">
              <a16:creationId xmlns:a16="http://schemas.microsoft.com/office/drawing/2014/main" id="{EAFC4080-DB41-3385-882A-98A176ACF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480060</xdr:colOff>
      <xdr:row>6</xdr:row>
      <xdr:rowOff>167640</xdr:rowOff>
    </xdr:from>
    <xdr:to>
      <xdr:col>19</xdr:col>
      <xdr:colOff>480060</xdr:colOff>
      <xdr:row>20</xdr:row>
      <xdr:rowOff>74295</xdr:rowOff>
    </xdr:to>
    <mc:AlternateContent xmlns:mc="http://schemas.openxmlformats.org/markup-compatibility/2006">
      <mc:Choice xmlns:a14="http://schemas.microsoft.com/office/drawing/2010/main" Requires="a14">
        <xdr:graphicFrame macro="">
          <xdr:nvGraphicFramePr>
            <xdr:cNvPr id="3" name="Years 2">
              <a:extLst>
                <a:ext uri="{FF2B5EF4-FFF2-40B4-BE49-F238E27FC236}">
                  <a16:creationId xmlns:a16="http://schemas.microsoft.com/office/drawing/2014/main" id="{6CE713D2-6D92-E32D-0516-F45A01E4000F}"/>
                </a:ext>
              </a:extLst>
            </xdr:cNvPr>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dr:sp macro="" textlink="">
          <xdr:nvSpPr>
            <xdr:cNvPr id="0" name=""/>
            <xdr:cNvSpPr>
              <a:spLocks noTextEdit="1"/>
            </xdr:cNvSpPr>
          </xdr:nvSpPr>
          <xdr:spPr>
            <a:xfrm>
              <a:off x="10454640" y="1264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281940</xdr:colOff>
      <xdr:row>2</xdr:row>
      <xdr:rowOff>45720</xdr:rowOff>
    </xdr:from>
    <xdr:to>
      <xdr:col>16</xdr:col>
      <xdr:colOff>38100</xdr:colOff>
      <xdr:row>25</xdr:row>
      <xdr:rowOff>160020</xdr:rowOff>
    </xdr:to>
    <xdr:graphicFrame macro="">
      <xdr:nvGraphicFramePr>
        <xdr:cNvPr id="2" name="Chart 1">
          <a:extLst>
            <a:ext uri="{FF2B5EF4-FFF2-40B4-BE49-F238E27FC236}">
              <a16:creationId xmlns:a16="http://schemas.microsoft.com/office/drawing/2014/main" id="{A67943FA-50C1-4CBE-EBD3-8BF3B1C3A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68580</xdr:colOff>
      <xdr:row>8</xdr:row>
      <xdr:rowOff>137160</xdr:rowOff>
    </xdr:from>
    <xdr:to>
      <xdr:col>19</xdr:col>
      <xdr:colOff>68580</xdr:colOff>
      <xdr:row>22</xdr:row>
      <xdr:rowOff>43815</xdr:rowOff>
    </xdr:to>
    <mc:AlternateContent xmlns:mc="http://schemas.openxmlformats.org/markup-compatibility/2006">
      <mc:Choice xmlns:a14="http://schemas.microsoft.com/office/drawing/2010/main" Requires="a14">
        <xdr:graphicFrame macro="">
          <xdr:nvGraphicFramePr>
            <xdr:cNvPr id="3" name="Years 3">
              <a:extLst>
                <a:ext uri="{FF2B5EF4-FFF2-40B4-BE49-F238E27FC236}">
                  <a16:creationId xmlns:a16="http://schemas.microsoft.com/office/drawing/2014/main" id="{689D3E93-520F-0EBD-BFC2-DCF82CEA99F2}"/>
                </a:ext>
              </a:extLst>
            </xdr:cNvPr>
            <xdr:cNvGraphicFramePr/>
          </xdr:nvGraphicFramePr>
          <xdr:xfrm>
            <a:off x="0" y="0"/>
            <a:ext cx="0" cy="0"/>
          </xdr:xfrm>
          <a:graphic>
            <a:graphicData uri="http://schemas.microsoft.com/office/drawing/2010/slicer">
              <sle:slicer xmlns:sle="http://schemas.microsoft.com/office/drawing/2010/slicer" name="Years 3"/>
            </a:graphicData>
          </a:graphic>
        </xdr:graphicFrame>
      </mc:Choice>
      <mc:Fallback>
        <xdr:sp macro="" textlink="">
          <xdr:nvSpPr>
            <xdr:cNvPr id="0" name=""/>
            <xdr:cNvSpPr>
              <a:spLocks noTextEdit="1"/>
            </xdr:cNvSpPr>
          </xdr:nvSpPr>
          <xdr:spPr>
            <a:xfrm>
              <a:off x="10530840" y="1600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586740</xdr:colOff>
      <xdr:row>21</xdr:row>
      <xdr:rowOff>60960</xdr:rowOff>
    </xdr:from>
    <xdr:to>
      <xdr:col>20</xdr:col>
      <xdr:colOff>312420</xdr:colOff>
      <xdr:row>49</xdr:row>
      <xdr:rowOff>83820</xdr:rowOff>
    </xdr:to>
    <xdr:graphicFrame macro="">
      <xdr:nvGraphicFramePr>
        <xdr:cNvPr id="2" name="Chart 1">
          <a:extLst>
            <a:ext uri="{FF2B5EF4-FFF2-40B4-BE49-F238E27FC236}">
              <a16:creationId xmlns:a16="http://schemas.microsoft.com/office/drawing/2014/main" id="{40540BE9-488A-543C-ACEC-ADD443AE03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403860</xdr:colOff>
      <xdr:row>3</xdr:row>
      <xdr:rowOff>114300</xdr:rowOff>
    </xdr:from>
    <xdr:to>
      <xdr:col>16</xdr:col>
      <xdr:colOff>403860</xdr:colOff>
      <xdr:row>17</xdr:row>
      <xdr:rowOff>20955</xdr:rowOff>
    </xdr:to>
    <mc:AlternateContent xmlns:mc="http://schemas.openxmlformats.org/markup-compatibility/2006">
      <mc:Choice xmlns:a14="http://schemas.microsoft.com/office/drawing/2010/main" Requires="a14">
        <xdr:graphicFrame macro="">
          <xdr:nvGraphicFramePr>
            <xdr:cNvPr id="4" name="Years 4">
              <a:extLst>
                <a:ext uri="{FF2B5EF4-FFF2-40B4-BE49-F238E27FC236}">
                  <a16:creationId xmlns:a16="http://schemas.microsoft.com/office/drawing/2014/main" id="{0FED0FFB-E3C1-F5EA-F0C1-975C03E906D2}"/>
                </a:ext>
              </a:extLst>
            </xdr:cNvPr>
            <xdr:cNvGraphicFramePr/>
          </xdr:nvGraphicFramePr>
          <xdr:xfrm>
            <a:off x="0" y="0"/>
            <a:ext cx="0" cy="0"/>
          </xdr:xfrm>
          <a:graphic>
            <a:graphicData uri="http://schemas.microsoft.com/office/drawing/2010/slicer">
              <sle:slicer xmlns:sle="http://schemas.microsoft.com/office/drawing/2010/slicer" name="Years 4"/>
            </a:graphicData>
          </a:graphic>
        </xdr:graphicFrame>
      </mc:Choice>
      <mc:Fallback>
        <xdr:sp macro="" textlink="">
          <xdr:nvSpPr>
            <xdr:cNvPr id="0" name=""/>
            <xdr:cNvSpPr>
              <a:spLocks noTextEdit="1"/>
            </xdr:cNvSpPr>
          </xdr:nvSpPr>
          <xdr:spPr>
            <a:xfrm>
              <a:off x="8671560" y="662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64</xdr:row>
      <xdr:rowOff>114300</xdr:rowOff>
    </xdr:from>
    <xdr:to>
      <xdr:col>14</xdr:col>
      <xdr:colOff>502920</xdr:colOff>
      <xdr:row>96</xdr:row>
      <xdr:rowOff>114300</xdr:rowOff>
    </xdr:to>
    <xdr:graphicFrame macro="">
      <xdr:nvGraphicFramePr>
        <xdr:cNvPr id="2" name="Chart 1">
          <a:extLst>
            <a:ext uri="{FF2B5EF4-FFF2-40B4-BE49-F238E27FC236}">
              <a16:creationId xmlns:a16="http://schemas.microsoft.com/office/drawing/2014/main" id="{B6833FE6-4AF2-F9F8-B04A-2FF5862457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175260</xdr:colOff>
      <xdr:row>70</xdr:row>
      <xdr:rowOff>91440</xdr:rowOff>
    </xdr:from>
    <xdr:to>
      <xdr:col>18</xdr:col>
      <xdr:colOff>175260</xdr:colOff>
      <xdr:row>83</xdr:row>
      <xdr:rowOff>180975</xdr:rowOff>
    </xdr:to>
    <mc:AlternateContent xmlns:mc="http://schemas.openxmlformats.org/markup-compatibility/2006">
      <mc:Choice xmlns:a14="http://schemas.microsoft.com/office/drawing/2010/main" Requires="a14">
        <xdr:graphicFrame macro="">
          <xdr:nvGraphicFramePr>
            <xdr:cNvPr id="3" name="Years 5">
              <a:extLst>
                <a:ext uri="{FF2B5EF4-FFF2-40B4-BE49-F238E27FC236}">
                  <a16:creationId xmlns:a16="http://schemas.microsoft.com/office/drawing/2014/main" id="{12161CFD-D810-0A09-0288-A2C9061E377C}"/>
                </a:ext>
              </a:extLst>
            </xdr:cNvPr>
            <xdr:cNvGraphicFramePr/>
          </xdr:nvGraphicFramePr>
          <xdr:xfrm>
            <a:off x="0" y="0"/>
            <a:ext cx="0" cy="0"/>
          </xdr:xfrm>
          <a:graphic>
            <a:graphicData uri="http://schemas.microsoft.com/office/drawing/2010/slicer">
              <sle:slicer xmlns:sle="http://schemas.microsoft.com/office/drawing/2010/slicer" name="Years 5"/>
            </a:graphicData>
          </a:graphic>
        </xdr:graphicFrame>
      </mc:Choice>
      <mc:Fallback>
        <xdr:sp macro="" textlink="">
          <xdr:nvSpPr>
            <xdr:cNvPr id="0" name=""/>
            <xdr:cNvSpPr>
              <a:spLocks noTextEdit="1"/>
            </xdr:cNvSpPr>
          </xdr:nvSpPr>
          <xdr:spPr>
            <a:xfrm>
              <a:off x="11894820" y="12893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495300</xdr:colOff>
      <xdr:row>18</xdr:row>
      <xdr:rowOff>60960</xdr:rowOff>
    </xdr:from>
    <xdr:to>
      <xdr:col>15</xdr:col>
      <xdr:colOff>419100</xdr:colOff>
      <xdr:row>43</xdr:row>
      <xdr:rowOff>99060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23F7025-DC54-042A-D722-DF76964019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34440" y="3352800"/>
              <a:ext cx="8999220" cy="4610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81644</xdr:colOff>
      <xdr:row>27</xdr:row>
      <xdr:rowOff>54429</xdr:rowOff>
    </xdr:from>
    <xdr:to>
      <xdr:col>11</xdr:col>
      <xdr:colOff>22861</xdr:colOff>
      <xdr:row>55</xdr:row>
      <xdr:rowOff>121920</xdr:rowOff>
    </xdr:to>
    <xdr:graphicFrame macro="">
      <xdr:nvGraphicFramePr>
        <xdr:cNvPr id="8" name="Chart 7">
          <a:extLst>
            <a:ext uri="{FF2B5EF4-FFF2-40B4-BE49-F238E27FC236}">
              <a16:creationId xmlns:a16="http://schemas.microsoft.com/office/drawing/2014/main" id="{FD2DDAF9-912C-4B92-ABB2-86A6FE6A1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54428</xdr:colOff>
      <xdr:row>27</xdr:row>
      <xdr:rowOff>108858</xdr:rowOff>
    </xdr:from>
    <xdr:to>
      <xdr:col>21</xdr:col>
      <xdr:colOff>122464</xdr:colOff>
      <xdr:row>55</xdr:row>
      <xdr:rowOff>152401</xdr:rowOff>
    </xdr:to>
    <xdr:graphicFrame macro="">
      <xdr:nvGraphicFramePr>
        <xdr:cNvPr id="9" name="Chart 8">
          <a:extLst>
            <a:ext uri="{FF2B5EF4-FFF2-40B4-BE49-F238E27FC236}">
              <a16:creationId xmlns:a16="http://schemas.microsoft.com/office/drawing/2014/main" id="{869CE286-1040-4DCB-A187-0D393EBCC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13608</xdr:colOff>
      <xdr:row>55</xdr:row>
      <xdr:rowOff>114299</xdr:rowOff>
    </xdr:from>
    <xdr:to>
      <xdr:col>11</xdr:col>
      <xdr:colOff>40822</xdr:colOff>
      <xdr:row>81</xdr:row>
      <xdr:rowOff>122463</xdr:rowOff>
    </xdr:to>
    <xdr:graphicFrame macro="">
      <xdr:nvGraphicFramePr>
        <xdr:cNvPr id="10" name="Chart 9">
          <a:extLst>
            <a:ext uri="{FF2B5EF4-FFF2-40B4-BE49-F238E27FC236}">
              <a16:creationId xmlns:a16="http://schemas.microsoft.com/office/drawing/2014/main" id="{57C33EFB-131E-4285-AB68-BB21AA4578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22859</xdr:colOff>
      <xdr:row>55</xdr:row>
      <xdr:rowOff>129540</xdr:rowOff>
    </xdr:from>
    <xdr:to>
      <xdr:col>22</xdr:col>
      <xdr:colOff>231321</xdr:colOff>
      <xdr:row>81</xdr:row>
      <xdr:rowOff>149678</xdr:rowOff>
    </xdr:to>
    <xdr:graphicFrame macro="">
      <xdr:nvGraphicFramePr>
        <xdr:cNvPr id="11" name="Chart 10">
          <a:extLst>
            <a:ext uri="{FF2B5EF4-FFF2-40B4-BE49-F238E27FC236}">
              <a16:creationId xmlns:a16="http://schemas.microsoft.com/office/drawing/2014/main" id="{F57FA752-C440-4E4E-A49F-B76231F9A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95250</xdr:colOff>
      <xdr:row>30</xdr:row>
      <xdr:rowOff>68036</xdr:rowOff>
    </xdr:from>
    <xdr:to>
      <xdr:col>41</xdr:col>
      <xdr:colOff>217714</xdr:colOff>
      <xdr:row>81</xdr:row>
      <xdr:rowOff>163285</xdr:rowOff>
    </xdr:to>
    <xdr:graphicFrame macro="">
      <xdr:nvGraphicFramePr>
        <xdr:cNvPr id="12" name="Chart 11">
          <a:extLst>
            <a:ext uri="{FF2B5EF4-FFF2-40B4-BE49-F238E27FC236}">
              <a16:creationId xmlns:a16="http://schemas.microsoft.com/office/drawing/2014/main" id="{579A2F46-D940-41C9-B263-393B88C88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500741</xdr:colOff>
      <xdr:row>82</xdr:row>
      <xdr:rowOff>35169</xdr:rowOff>
    </xdr:from>
    <xdr:to>
      <xdr:col>31</xdr:col>
      <xdr:colOff>489019</xdr:colOff>
      <xdr:row>106</xdr:row>
      <xdr:rowOff>140677</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747B5965-7E4A-4FCB-8DE0-7FE1586FBA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206341" y="15625689"/>
              <a:ext cx="12180278" cy="449462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41</xdr:col>
      <xdr:colOff>394608</xdr:colOff>
      <xdr:row>29</xdr:row>
      <xdr:rowOff>81643</xdr:rowOff>
    </xdr:from>
    <xdr:to>
      <xdr:col>47</xdr:col>
      <xdr:colOff>367394</xdr:colOff>
      <xdr:row>49</xdr:row>
      <xdr:rowOff>0</xdr:rowOff>
    </xdr:to>
    <mc:AlternateContent xmlns:mc="http://schemas.openxmlformats.org/markup-compatibility/2006">
      <mc:Choice xmlns:a14="http://schemas.microsoft.com/office/drawing/2010/main" Requires="a14">
        <xdr:graphicFrame macro="">
          <xdr:nvGraphicFramePr>
            <xdr:cNvPr id="2" name="Years 1">
              <a:extLst>
                <a:ext uri="{FF2B5EF4-FFF2-40B4-BE49-F238E27FC236}">
                  <a16:creationId xmlns:a16="http://schemas.microsoft.com/office/drawing/2014/main" id="{C082424A-6AF2-4C68-B45F-A5DC97DD600F}"/>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25204432" y="5875084"/>
              <a:ext cx="3603491" cy="3504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 Bawa" refreshedDate="44875.849831597225" createdVersion="8" refreshedVersion="8" minRefreshableVersion="3" recordCount="71" xr:uid="{00000000-000A-0000-FFFF-FFFF1F000000}">
  <cacheSource type="worksheet">
    <worksheetSource name="Table1"/>
  </cacheSource>
  <cacheFields count="16">
    <cacheField name="Score" numFmtId="0">
      <sharedItems containsSemiMixedTypes="0" containsString="0" containsNumber="1" containsInteger="1" minValue="100" maxValue="254" count="48">
        <n v="116"/>
        <n v="103"/>
        <n v="107"/>
        <n v="119"/>
        <n v="105"/>
        <n v="115"/>
        <n v="141"/>
        <n v="169"/>
        <n v="147"/>
        <n v="200"/>
        <n v="211"/>
        <n v="167"/>
        <n v="235"/>
        <n v="204"/>
        <n v="104"/>
        <n v="213"/>
        <n v="243"/>
        <n v="153"/>
        <n v="149"/>
        <n v="139"/>
        <n v="123"/>
        <n v="254"/>
        <n v="136"/>
        <n v="102"/>
        <n v="118"/>
        <n v="100"/>
        <n v="112"/>
        <n v="117"/>
        <n v="133"/>
        <n v="108"/>
        <n v="183"/>
        <n v="106"/>
        <n v="128"/>
        <n v="127"/>
        <n v="138"/>
        <n v="154"/>
        <n v="122"/>
        <n v="111"/>
        <n v="131"/>
        <n v="110"/>
        <n v="121"/>
        <n v="113"/>
        <n v="160"/>
        <n v="129"/>
        <n v="140"/>
        <n v="157"/>
        <n v="120"/>
        <n v="114"/>
      </sharedItems>
    </cacheField>
    <cacheField name="Out/Not Out" numFmtId="0">
      <sharedItems count="2">
        <s v="Out"/>
        <s v="Not Out"/>
      </sharedItems>
    </cacheField>
    <cacheField name="Against" numFmtId="0">
      <sharedItems count="10">
        <s v="Australia"/>
        <s v="New Zealand"/>
        <s v="England"/>
        <s v="South Africa"/>
        <s v="Sri Lanka"/>
        <s v="West Indies"/>
        <s v="Bangladesh"/>
        <s v="Pakistan"/>
        <s v="Zimbabwe"/>
        <s v="Afganistan"/>
      </sharedItems>
    </cacheField>
    <cacheField name="Batting Order" numFmtId="0">
      <sharedItems containsSemiMixedTypes="0" containsString="0" containsNumber="1" containsInteger="1" minValue="1" maxValue="6" count="5">
        <n v="6"/>
        <n v="5"/>
        <n v="4"/>
        <n v="3"/>
        <n v="1"/>
      </sharedItems>
    </cacheField>
    <cacheField name="Inn." numFmtId="0">
      <sharedItems containsSemiMixedTypes="0" containsString="0" containsNumber="1" containsInteger="1" minValue="1" maxValue="4"/>
    </cacheField>
    <cacheField name="Strike Rate" numFmtId="0">
      <sharedItems containsSemiMixedTypes="0" containsString="0" containsNumber="1" minValue="5.92" maxValue="200"/>
    </cacheField>
    <cacheField name="Venue" numFmtId="0">
      <sharedItems count="45">
        <s v="Adelaide Oval"/>
        <s v="M. Chinnaswamy Stadium"/>
        <s v="Vidarbha Cricket Association Stadium"/>
        <s v="M. A. Chidambaram Stadium"/>
        <s v="Wanderers Stadium"/>
        <s v="Basin Reserve"/>
        <s v="Melbourne Cricket Ground"/>
        <s v="Sydney Cricket Ground"/>
        <s v="Galle International Stadium"/>
        <s v="Sir Vivian Richards Stadium"/>
        <s v="Holkar Stadium"/>
        <s v="ACA-VDCA Cricket Stadium"/>
        <s v="Wankhede Stadium"/>
        <s v="Rajiv Gandhi International Cricket Stadium"/>
        <s v="Eden Gardens"/>
        <s v="Feroz Shah Kotla Ground"/>
        <s v="SuperSport Park"/>
        <s v="Edgbaston Cricket Ground"/>
        <s v="Trent Bridge"/>
        <s v="Saurashtra Cricket Association Stadium"/>
        <s v="Perth Stadium"/>
        <s v="Maharashtra Cricket Association Stadium"/>
        <s v="Sher-e-Bangla Cricket Stadium"/>
        <s v="APCA-VDCA Stadium"/>
        <s v="Nehru Stadium"/>
        <s v="Sophia Gardens"/>
        <s v="Bellerive Oval"/>
        <s v="MRIC Stadium"/>
        <s v="R. Premadasa Stadium"/>
        <s v="Queen's Park Oval"/>
        <s v="Harare Sports Club"/>
        <s v="Sawai Mansingh Stadium"/>
        <s v="VCA Stadium"/>
        <s v="McLean Park"/>
        <s v="Khan Shaheb Osman Ali Stadium"/>
        <s v="HPCA Stadium"/>
        <s v="JSCA International Stadium"/>
        <s v="Manuka Oval"/>
        <s v="Punjab Cricket Association IS Bindra Stadium"/>
        <s v="Sabina Park"/>
        <s v="Green Park Stadium"/>
        <s v="Kingsmead Cricket Ground"/>
        <s v="Newlands Cricket Ground"/>
        <s v="ACA Stadium"/>
        <s v="Dubai International Cricket Stadium"/>
      </sharedItems>
    </cacheField>
    <cacheField name="Column1" numFmtId="0">
      <sharedItems count="42">
        <s v=" Adelaide"/>
        <s v=" Bangalore"/>
        <s v=" Nagpur"/>
        <s v=" Chennai"/>
        <s v=" Johannesburg"/>
        <s v=" Wellington"/>
        <s v=" Melbourne"/>
        <s v=" Sydney"/>
        <s v=" Galle"/>
        <s v=" North Sound"/>
        <s v=" Indore"/>
        <s v=" Visakhapatnam"/>
        <s v=" Mumbai"/>
        <s v=" Hyderabad"/>
        <s v=" Kolkata"/>
        <s v=" Delhi"/>
        <s v=" Centurion"/>
        <s v=" Birmingham"/>
        <s v=" Nottingham"/>
        <s v=" Rajkot"/>
        <s v=" Perth"/>
        <s v=" Pune"/>
        <s v=" Dhaka"/>
        <s v=" Guwahati"/>
        <s v=" Cardiff"/>
        <s v=" Hobart"/>
        <s v=" Hambantota"/>
        <s v=" Colombo"/>
        <s v=" Port of Spain"/>
        <s v=" Harare"/>
        <s v=" Jaipur"/>
        <s v=" Napier"/>
        <s v=" Fatullah"/>
        <s v=" Dharamshala"/>
        <s v=" Ranchi"/>
        <s v=" Canberra"/>
        <s v=" Mohali"/>
        <s v=" Kingston"/>
        <s v=" Kanpur"/>
        <s v=" Durban"/>
        <s v=" Cape Town"/>
        <s v="Dubai"/>
      </sharedItems>
    </cacheField>
    <cacheField name="H/A" numFmtId="0">
      <sharedItems count="2">
        <s v="Away"/>
        <s v="Home"/>
      </sharedItems>
    </cacheField>
    <cacheField name="Date" numFmtId="14">
      <sharedItems containsSemiMixedTypes="0" containsNonDate="0" containsDate="1" containsString="0" minDate="2009-12-24T00:00:00" maxDate="2022-09-09T00:00:00" count="70">
        <d v="2012-01-24T00:00:00"/>
        <d v="2012-08-31T00:00:00"/>
        <d v="2012-12-13T00:00:00"/>
        <d v="2013-02-22T00:00:00"/>
        <d v="2013-12-18T00:00:00"/>
        <d v="2014-02-14T00:00:00"/>
        <d v="2014-12-09T00:00:00"/>
        <d v="2014-12-26T00:00:00"/>
        <d v="2015-01-06T00:00:00"/>
        <d v="2015-08-12T00:00:00"/>
        <d v="2016-07-21T00:00:00"/>
        <d v="2016-10-08T00:00:00"/>
        <d v="2016-11-17T00:00:00"/>
        <d v="2016-12-08T00:00:00"/>
        <d v="2017-02-09T00:00:00"/>
        <d v="2017-07-26T00:00:00"/>
        <d v="2017-11-16T00:00:00"/>
        <d v="2017-11-24T00:00:00"/>
        <d v="2017-12-02T00:00:00"/>
        <d v="2018-01-13T00:00:00"/>
        <d v="2018-08-01T00:00:00"/>
        <d v="2018-08-18T00:00:00"/>
        <d v="2018-10-04T00:00:00"/>
        <d v="2018-12-14T00:00:00"/>
        <d v="2019-10-10T00:00:00"/>
        <d v="2019-11-22T00:00:00"/>
        <d v="2009-12-24T00:00:00"/>
        <d v="2010-01-11T00:00:00"/>
        <d v="2010-10-20T00:00:00"/>
        <d v="2010-11-28T00:00:00"/>
        <d v="2011-02-19T00:00:00"/>
        <d v="2011-09-16T00:00:00"/>
        <d v="2011-10-17T00:00:00"/>
        <d v="2011-12-02T00:00:00"/>
        <d v="2012-02-28T00:00:00"/>
        <d v="2012-03-13T00:00:00"/>
        <d v="2012-03-18T00:00:00"/>
        <d v="2012-07-21T00:00:00"/>
        <d v="2012-07-31T00:00:00"/>
        <d v="2013-07-05T00:00:00"/>
        <d v="2013-07-24T00:00:00"/>
        <d v="2013-10-16T00:00:00"/>
        <d v="2013-10-30T00:00:00"/>
        <d v="2014-01-19T00:00:00"/>
        <d v="2014-02-26T00:00:00"/>
        <d v="2014-10-17T00:00:00"/>
        <d v="2014-11-16T00:00:00"/>
        <d v="2015-02-15T00:00:00"/>
        <d v="2015-10-22T00:00:00"/>
        <d v="2016-01-17T00:00:00"/>
        <d v="2016-01-20T00:00:00"/>
        <d v="2016-10-23T00:00:00"/>
        <d v="2017-01-15T00:00:00"/>
        <d v="2017-07-06T00:00:00"/>
        <d v="2017-08-31T00:00:00"/>
        <d v="2017-09-03T00:00:00"/>
        <d v="2017-10-22T00:00:00"/>
        <d v="2017-10-29T00:00:00"/>
        <d v="2018-02-01T00:00:00"/>
        <d v="2018-02-07T00:00:00"/>
        <d v="2018-02-16T00:00:00"/>
        <d v="2018-10-21T00:00:00"/>
        <d v="2018-10-24T00:00:00"/>
        <d v="2018-10-27T00:00:00"/>
        <d v="2019-01-15T00:00:00"/>
        <d v="2019-03-05T00:00:00"/>
        <d v="2019-03-08T00:00:00"/>
        <d v="2019-08-11T00:00:00"/>
        <d v="2019-08-14T00:00:00"/>
        <d v="2022-09-08T00:00:00"/>
      </sharedItems>
      <fieldGroup par="15" base="9">
        <rangePr groupBy="months" startDate="2009-12-24T00:00:00" endDate="2022-09-09T00:00:00"/>
        <groupItems count="14">
          <s v="&lt;24-12-2009"/>
          <s v="Jan"/>
          <s v="Feb"/>
          <s v="Mar"/>
          <s v="Apr"/>
          <s v="May"/>
          <s v="Jun"/>
          <s v="Jul"/>
          <s v="Aug"/>
          <s v="Sep"/>
          <s v="Oct"/>
          <s v="Nov"/>
          <s v="Dec"/>
          <s v="&gt;09-09-2022"/>
        </groupItems>
      </fieldGroup>
    </cacheField>
    <cacheField name="Result" numFmtId="0">
      <sharedItems count="6">
        <s v="Lost"/>
        <s v="Won"/>
        <s v="Drawn"/>
        <s v="Lost (D/L)"/>
        <s v="Won (D/L)"/>
        <s v="Tied"/>
      </sharedItems>
    </cacheField>
    <cacheField name="Format" numFmtId="0">
      <sharedItems count="3">
        <s v="Test"/>
        <s v="ODI"/>
        <s v="T20I"/>
      </sharedItems>
    </cacheField>
    <cacheField name="Man of the Match" numFmtId="0">
      <sharedItems count="2">
        <s v="No"/>
        <s v="Yes"/>
      </sharedItems>
    </cacheField>
    <cacheField name="Captain" numFmtId="0">
      <sharedItems count="2">
        <s v="No"/>
        <s v="Yes"/>
      </sharedItems>
    </cacheField>
    <cacheField name="Quarters" numFmtId="0" databaseField="0">
      <fieldGroup base="9">
        <rangePr groupBy="quarters" startDate="2009-12-24T00:00:00" endDate="2022-09-09T00:00:00"/>
        <groupItems count="6">
          <s v="&lt;24-12-2009"/>
          <s v="Qtr1"/>
          <s v="Qtr2"/>
          <s v="Qtr3"/>
          <s v="Qtr4"/>
          <s v="&gt;09-09-2022"/>
        </groupItems>
      </fieldGroup>
    </cacheField>
    <cacheField name="Years" numFmtId="0" databaseField="0">
      <fieldGroup base="9">
        <rangePr groupBy="years" startDate="2009-12-24T00:00:00" endDate="2022-09-09T00:00:00"/>
        <groupItems count="16">
          <s v="&lt;24-12-2009"/>
          <s v="2009"/>
          <s v="2010"/>
          <s v="2011"/>
          <s v="2012"/>
          <s v="2013"/>
          <s v="2014"/>
          <s v="2015"/>
          <s v="2016"/>
          <s v="2017"/>
          <s v="2018"/>
          <s v="2019"/>
          <s v="2020"/>
          <s v="2021"/>
          <s v="2022"/>
          <s v="&gt;09-09-2022"/>
        </groupItems>
      </fieldGroup>
    </cacheField>
  </cacheFields>
  <extLst>
    <ext xmlns:x14="http://schemas.microsoft.com/office/spreadsheetml/2009/9/main" uri="{725AE2AE-9491-48be-B2B4-4EB974FC3084}">
      <x14:pivotCacheDefinition pivotCacheId="1917838182"/>
    </ext>
  </extLst>
</pivotCacheDefinition>
</file>

<file path=xl/pivotCache/pivotCacheRecords1.xml><?xml version="1.0" encoding="utf-8"?>
<pivotCacheRecords xmlns="http://schemas.openxmlformats.org/spreadsheetml/2006/main" xmlns:r="http://schemas.openxmlformats.org/officeDocument/2006/relationships" count="71">
  <r>
    <x v="0"/>
    <x v="0"/>
    <x v="0"/>
    <x v="0"/>
    <n v="2"/>
    <n v="54.46"/>
    <x v="0"/>
    <x v="0"/>
    <x v="0"/>
    <x v="0"/>
    <x v="0"/>
    <x v="0"/>
    <x v="0"/>
    <x v="0"/>
  </r>
  <r>
    <x v="1"/>
    <x v="0"/>
    <x v="1"/>
    <x v="1"/>
    <n v="2"/>
    <n v="53.36"/>
    <x v="1"/>
    <x v="1"/>
    <x v="1"/>
    <x v="1"/>
    <x v="1"/>
    <x v="0"/>
    <x v="1"/>
    <x v="0"/>
  </r>
  <r>
    <x v="1"/>
    <x v="0"/>
    <x v="2"/>
    <x v="1"/>
    <n v="2"/>
    <n v="34.909999999999997"/>
    <x v="2"/>
    <x v="2"/>
    <x v="1"/>
    <x v="2"/>
    <x v="2"/>
    <x v="0"/>
    <x v="0"/>
    <x v="0"/>
  </r>
  <r>
    <x v="2"/>
    <x v="0"/>
    <x v="0"/>
    <x v="1"/>
    <n v="2"/>
    <n v="51.94"/>
    <x v="3"/>
    <x v="3"/>
    <x v="1"/>
    <x v="3"/>
    <x v="1"/>
    <x v="0"/>
    <x v="0"/>
    <x v="0"/>
  </r>
  <r>
    <x v="3"/>
    <x v="0"/>
    <x v="3"/>
    <x v="2"/>
    <n v="1"/>
    <n v="65.739999999999995"/>
    <x v="4"/>
    <x v="4"/>
    <x v="0"/>
    <x v="4"/>
    <x v="2"/>
    <x v="0"/>
    <x v="0"/>
    <x v="0"/>
  </r>
  <r>
    <x v="4"/>
    <x v="1"/>
    <x v="1"/>
    <x v="2"/>
    <n v="4"/>
    <n v="77.77"/>
    <x v="5"/>
    <x v="5"/>
    <x v="0"/>
    <x v="5"/>
    <x v="2"/>
    <x v="0"/>
    <x v="0"/>
    <x v="0"/>
  </r>
  <r>
    <x v="5"/>
    <x v="0"/>
    <x v="0"/>
    <x v="2"/>
    <n v="2"/>
    <n v="62.5"/>
    <x v="0"/>
    <x v="0"/>
    <x v="0"/>
    <x v="6"/>
    <x v="0"/>
    <x v="0"/>
    <x v="0"/>
    <x v="1"/>
  </r>
  <r>
    <x v="6"/>
    <x v="0"/>
    <x v="0"/>
    <x v="2"/>
    <n v="4"/>
    <n v="80.56"/>
    <x v="0"/>
    <x v="0"/>
    <x v="0"/>
    <x v="6"/>
    <x v="0"/>
    <x v="0"/>
    <x v="0"/>
    <x v="1"/>
  </r>
  <r>
    <x v="7"/>
    <x v="0"/>
    <x v="0"/>
    <x v="2"/>
    <n v="2"/>
    <n v="62.13"/>
    <x v="6"/>
    <x v="6"/>
    <x v="0"/>
    <x v="7"/>
    <x v="2"/>
    <x v="0"/>
    <x v="0"/>
    <x v="0"/>
  </r>
  <r>
    <x v="8"/>
    <x v="0"/>
    <x v="0"/>
    <x v="2"/>
    <n v="2"/>
    <n v="63.91"/>
    <x v="7"/>
    <x v="7"/>
    <x v="0"/>
    <x v="8"/>
    <x v="2"/>
    <x v="0"/>
    <x v="0"/>
    <x v="1"/>
  </r>
  <r>
    <x v="1"/>
    <x v="0"/>
    <x v="4"/>
    <x v="2"/>
    <n v="2"/>
    <n v="5.92"/>
    <x v="8"/>
    <x v="8"/>
    <x v="0"/>
    <x v="9"/>
    <x v="0"/>
    <x v="0"/>
    <x v="0"/>
    <x v="1"/>
  </r>
  <r>
    <x v="9"/>
    <x v="0"/>
    <x v="5"/>
    <x v="2"/>
    <n v="1"/>
    <n v="70.67"/>
    <x v="9"/>
    <x v="9"/>
    <x v="0"/>
    <x v="10"/>
    <x v="1"/>
    <x v="0"/>
    <x v="0"/>
    <x v="1"/>
  </r>
  <r>
    <x v="10"/>
    <x v="0"/>
    <x v="1"/>
    <x v="2"/>
    <n v="1"/>
    <n v="57.65"/>
    <x v="10"/>
    <x v="10"/>
    <x v="1"/>
    <x v="11"/>
    <x v="1"/>
    <x v="0"/>
    <x v="0"/>
    <x v="1"/>
  </r>
  <r>
    <x v="11"/>
    <x v="0"/>
    <x v="2"/>
    <x v="2"/>
    <n v="1"/>
    <n v="62.54"/>
    <x v="11"/>
    <x v="11"/>
    <x v="1"/>
    <x v="12"/>
    <x v="1"/>
    <x v="0"/>
    <x v="1"/>
    <x v="1"/>
  </r>
  <r>
    <x v="12"/>
    <x v="0"/>
    <x v="2"/>
    <x v="2"/>
    <n v="2"/>
    <n v="69.11"/>
    <x v="12"/>
    <x v="12"/>
    <x v="1"/>
    <x v="13"/>
    <x v="1"/>
    <x v="0"/>
    <x v="1"/>
    <x v="1"/>
  </r>
  <r>
    <x v="13"/>
    <x v="0"/>
    <x v="6"/>
    <x v="2"/>
    <n v="1"/>
    <n v="82.92"/>
    <x v="13"/>
    <x v="13"/>
    <x v="1"/>
    <x v="14"/>
    <x v="1"/>
    <x v="0"/>
    <x v="1"/>
    <x v="1"/>
  </r>
  <r>
    <x v="1"/>
    <x v="1"/>
    <x v="4"/>
    <x v="2"/>
    <n v="3"/>
    <n v="99.03"/>
    <x v="8"/>
    <x v="8"/>
    <x v="0"/>
    <x v="15"/>
    <x v="1"/>
    <x v="0"/>
    <x v="0"/>
    <x v="1"/>
  </r>
  <r>
    <x v="14"/>
    <x v="1"/>
    <x v="4"/>
    <x v="2"/>
    <n v="3"/>
    <n v="87.39"/>
    <x v="14"/>
    <x v="14"/>
    <x v="1"/>
    <x v="16"/>
    <x v="2"/>
    <x v="0"/>
    <x v="0"/>
    <x v="1"/>
  </r>
  <r>
    <x v="15"/>
    <x v="0"/>
    <x v="4"/>
    <x v="2"/>
    <n v="2"/>
    <n v="79.77"/>
    <x v="2"/>
    <x v="2"/>
    <x v="1"/>
    <x v="17"/>
    <x v="1"/>
    <x v="0"/>
    <x v="1"/>
    <x v="1"/>
  </r>
  <r>
    <x v="16"/>
    <x v="0"/>
    <x v="4"/>
    <x v="2"/>
    <n v="1"/>
    <n v="84.66"/>
    <x v="15"/>
    <x v="15"/>
    <x v="1"/>
    <x v="18"/>
    <x v="2"/>
    <x v="0"/>
    <x v="1"/>
    <x v="1"/>
  </r>
  <r>
    <x v="17"/>
    <x v="0"/>
    <x v="3"/>
    <x v="2"/>
    <n v="2"/>
    <n v="70.5"/>
    <x v="16"/>
    <x v="16"/>
    <x v="0"/>
    <x v="19"/>
    <x v="0"/>
    <x v="0"/>
    <x v="0"/>
    <x v="1"/>
  </r>
  <r>
    <x v="18"/>
    <x v="0"/>
    <x v="2"/>
    <x v="2"/>
    <n v="2"/>
    <n v="66.22"/>
    <x v="17"/>
    <x v="17"/>
    <x v="0"/>
    <x v="20"/>
    <x v="0"/>
    <x v="0"/>
    <x v="0"/>
    <x v="1"/>
  </r>
  <r>
    <x v="1"/>
    <x v="0"/>
    <x v="2"/>
    <x v="2"/>
    <n v="3"/>
    <n v="52.28"/>
    <x v="18"/>
    <x v="18"/>
    <x v="0"/>
    <x v="21"/>
    <x v="1"/>
    <x v="0"/>
    <x v="1"/>
    <x v="1"/>
  </r>
  <r>
    <x v="19"/>
    <x v="0"/>
    <x v="5"/>
    <x v="2"/>
    <n v="1"/>
    <n v="60.43"/>
    <x v="19"/>
    <x v="19"/>
    <x v="1"/>
    <x v="22"/>
    <x v="1"/>
    <x v="0"/>
    <x v="0"/>
    <x v="1"/>
  </r>
  <r>
    <x v="20"/>
    <x v="0"/>
    <x v="0"/>
    <x v="2"/>
    <n v="2"/>
    <n v="47.85"/>
    <x v="20"/>
    <x v="20"/>
    <x v="0"/>
    <x v="23"/>
    <x v="0"/>
    <x v="0"/>
    <x v="0"/>
    <x v="1"/>
  </r>
  <r>
    <x v="21"/>
    <x v="1"/>
    <x v="3"/>
    <x v="2"/>
    <n v="1"/>
    <n v="75.59"/>
    <x v="21"/>
    <x v="21"/>
    <x v="1"/>
    <x v="24"/>
    <x v="1"/>
    <x v="0"/>
    <x v="1"/>
    <x v="1"/>
  </r>
  <r>
    <x v="22"/>
    <x v="0"/>
    <x v="6"/>
    <x v="2"/>
    <n v="2"/>
    <n v="70.099999999999994"/>
    <x v="14"/>
    <x v="14"/>
    <x v="1"/>
    <x v="25"/>
    <x v="1"/>
    <x v="0"/>
    <x v="0"/>
    <x v="1"/>
  </r>
  <r>
    <x v="2"/>
    <x v="0"/>
    <x v="4"/>
    <x v="2"/>
    <n v="2"/>
    <n v="93.85"/>
    <x v="14"/>
    <x v="14"/>
    <x v="1"/>
    <x v="26"/>
    <x v="1"/>
    <x v="1"/>
    <x v="0"/>
    <x v="0"/>
  </r>
  <r>
    <x v="23"/>
    <x v="1"/>
    <x v="6"/>
    <x v="3"/>
    <n v="2"/>
    <n v="107.37"/>
    <x v="22"/>
    <x v="22"/>
    <x v="0"/>
    <x v="27"/>
    <x v="1"/>
    <x v="1"/>
    <x v="1"/>
    <x v="0"/>
  </r>
  <r>
    <x v="24"/>
    <x v="0"/>
    <x v="0"/>
    <x v="3"/>
    <n v="2"/>
    <n v="97.52"/>
    <x v="23"/>
    <x v="11"/>
    <x v="1"/>
    <x v="28"/>
    <x v="1"/>
    <x v="1"/>
    <x v="1"/>
    <x v="0"/>
  </r>
  <r>
    <x v="4"/>
    <x v="0"/>
    <x v="1"/>
    <x v="3"/>
    <n v="1"/>
    <n v="100.96"/>
    <x v="24"/>
    <x v="23"/>
    <x v="1"/>
    <x v="29"/>
    <x v="1"/>
    <x v="1"/>
    <x v="1"/>
    <x v="0"/>
  </r>
  <r>
    <x v="25"/>
    <x v="1"/>
    <x v="6"/>
    <x v="2"/>
    <n v="1"/>
    <n v="120.48"/>
    <x v="22"/>
    <x v="22"/>
    <x v="0"/>
    <x v="30"/>
    <x v="1"/>
    <x v="1"/>
    <x v="0"/>
    <x v="0"/>
  </r>
  <r>
    <x v="2"/>
    <x v="0"/>
    <x v="2"/>
    <x v="2"/>
    <n v="1"/>
    <n v="115.05"/>
    <x v="25"/>
    <x v="24"/>
    <x v="0"/>
    <x v="31"/>
    <x v="3"/>
    <x v="1"/>
    <x v="0"/>
    <x v="0"/>
  </r>
  <r>
    <x v="26"/>
    <x v="1"/>
    <x v="2"/>
    <x v="2"/>
    <n v="2"/>
    <n v="114.28"/>
    <x v="15"/>
    <x v="15"/>
    <x v="1"/>
    <x v="32"/>
    <x v="1"/>
    <x v="1"/>
    <x v="1"/>
    <x v="0"/>
  </r>
  <r>
    <x v="27"/>
    <x v="0"/>
    <x v="5"/>
    <x v="2"/>
    <n v="2"/>
    <n v="95.12"/>
    <x v="23"/>
    <x v="11"/>
    <x v="1"/>
    <x v="33"/>
    <x v="1"/>
    <x v="1"/>
    <x v="1"/>
    <x v="0"/>
  </r>
  <r>
    <x v="28"/>
    <x v="1"/>
    <x v="4"/>
    <x v="2"/>
    <n v="2"/>
    <n v="154.65"/>
    <x v="26"/>
    <x v="25"/>
    <x v="0"/>
    <x v="34"/>
    <x v="1"/>
    <x v="1"/>
    <x v="1"/>
    <x v="0"/>
  </r>
  <r>
    <x v="29"/>
    <x v="0"/>
    <x v="4"/>
    <x v="3"/>
    <n v="1"/>
    <n v="90"/>
    <x v="22"/>
    <x v="22"/>
    <x v="0"/>
    <x v="35"/>
    <x v="1"/>
    <x v="1"/>
    <x v="1"/>
    <x v="0"/>
  </r>
  <r>
    <x v="30"/>
    <x v="0"/>
    <x v="7"/>
    <x v="3"/>
    <n v="2"/>
    <n v="123.64"/>
    <x v="22"/>
    <x v="22"/>
    <x v="0"/>
    <x v="36"/>
    <x v="1"/>
    <x v="1"/>
    <x v="1"/>
    <x v="0"/>
  </r>
  <r>
    <x v="31"/>
    <x v="0"/>
    <x v="4"/>
    <x v="3"/>
    <n v="1"/>
    <n v="93.8"/>
    <x v="27"/>
    <x v="26"/>
    <x v="0"/>
    <x v="37"/>
    <x v="1"/>
    <x v="1"/>
    <x v="1"/>
    <x v="0"/>
  </r>
  <r>
    <x v="32"/>
    <x v="1"/>
    <x v="4"/>
    <x v="3"/>
    <n v="2"/>
    <n v="107.56"/>
    <x v="28"/>
    <x v="27"/>
    <x v="0"/>
    <x v="38"/>
    <x v="1"/>
    <x v="1"/>
    <x v="1"/>
    <x v="0"/>
  </r>
  <r>
    <x v="23"/>
    <x v="0"/>
    <x v="5"/>
    <x v="3"/>
    <n v="1"/>
    <n v="122.89"/>
    <x v="29"/>
    <x v="28"/>
    <x v="0"/>
    <x v="39"/>
    <x v="4"/>
    <x v="1"/>
    <x v="1"/>
    <x v="1"/>
  </r>
  <r>
    <x v="5"/>
    <x v="0"/>
    <x v="8"/>
    <x v="3"/>
    <n v="2"/>
    <n v="106.48"/>
    <x v="30"/>
    <x v="29"/>
    <x v="0"/>
    <x v="40"/>
    <x v="1"/>
    <x v="1"/>
    <x v="1"/>
    <x v="1"/>
  </r>
  <r>
    <x v="25"/>
    <x v="1"/>
    <x v="0"/>
    <x v="3"/>
    <n v="2"/>
    <n v="192.3"/>
    <x v="31"/>
    <x v="30"/>
    <x v="1"/>
    <x v="41"/>
    <x v="1"/>
    <x v="1"/>
    <x v="0"/>
    <x v="0"/>
  </r>
  <r>
    <x v="5"/>
    <x v="1"/>
    <x v="0"/>
    <x v="3"/>
    <n v="2"/>
    <n v="174.24"/>
    <x v="32"/>
    <x v="2"/>
    <x v="1"/>
    <x v="42"/>
    <x v="1"/>
    <x v="1"/>
    <x v="1"/>
    <x v="0"/>
  </r>
  <r>
    <x v="20"/>
    <x v="0"/>
    <x v="1"/>
    <x v="3"/>
    <n v="2"/>
    <n v="110.81"/>
    <x v="33"/>
    <x v="31"/>
    <x v="0"/>
    <x v="43"/>
    <x v="0"/>
    <x v="1"/>
    <x v="0"/>
    <x v="0"/>
  </r>
  <r>
    <x v="22"/>
    <x v="0"/>
    <x v="6"/>
    <x v="3"/>
    <n v="2"/>
    <n v="111.47"/>
    <x v="34"/>
    <x v="32"/>
    <x v="0"/>
    <x v="44"/>
    <x v="1"/>
    <x v="1"/>
    <x v="1"/>
    <x v="1"/>
  </r>
  <r>
    <x v="33"/>
    <x v="0"/>
    <x v="5"/>
    <x v="3"/>
    <n v="1"/>
    <n v="111.4"/>
    <x v="35"/>
    <x v="33"/>
    <x v="1"/>
    <x v="45"/>
    <x v="1"/>
    <x v="1"/>
    <x v="1"/>
    <x v="0"/>
  </r>
  <r>
    <x v="19"/>
    <x v="1"/>
    <x v="4"/>
    <x v="2"/>
    <n v="2"/>
    <n v="110.31"/>
    <x v="36"/>
    <x v="34"/>
    <x v="1"/>
    <x v="46"/>
    <x v="1"/>
    <x v="1"/>
    <x v="0"/>
    <x v="1"/>
  </r>
  <r>
    <x v="2"/>
    <x v="0"/>
    <x v="7"/>
    <x v="3"/>
    <n v="1"/>
    <n v="84.9"/>
    <x v="0"/>
    <x v="0"/>
    <x v="0"/>
    <x v="47"/>
    <x v="1"/>
    <x v="1"/>
    <x v="1"/>
    <x v="0"/>
  </r>
  <r>
    <x v="34"/>
    <x v="0"/>
    <x v="3"/>
    <x v="3"/>
    <n v="1"/>
    <n v="98.57"/>
    <x v="3"/>
    <x v="3"/>
    <x v="1"/>
    <x v="48"/>
    <x v="1"/>
    <x v="1"/>
    <x v="1"/>
    <x v="0"/>
  </r>
  <r>
    <x v="27"/>
    <x v="0"/>
    <x v="0"/>
    <x v="3"/>
    <n v="1"/>
    <n v="100"/>
    <x v="6"/>
    <x v="6"/>
    <x v="0"/>
    <x v="49"/>
    <x v="0"/>
    <x v="1"/>
    <x v="0"/>
    <x v="0"/>
  </r>
  <r>
    <x v="31"/>
    <x v="0"/>
    <x v="0"/>
    <x v="3"/>
    <n v="2"/>
    <n v="115.21"/>
    <x v="37"/>
    <x v="35"/>
    <x v="0"/>
    <x v="50"/>
    <x v="0"/>
    <x v="1"/>
    <x v="0"/>
    <x v="0"/>
  </r>
  <r>
    <x v="35"/>
    <x v="1"/>
    <x v="1"/>
    <x v="3"/>
    <n v="2"/>
    <n v="114.92"/>
    <x v="38"/>
    <x v="36"/>
    <x v="1"/>
    <x v="51"/>
    <x v="1"/>
    <x v="1"/>
    <x v="1"/>
    <x v="0"/>
  </r>
  <r>
    <x v="36"/>
    <x v="0"/>
    <x v="2"/>
    <x v="3"/>
    <n v="2"/>
    <n v="116.19"/>
    <x v="21"/>
    <x v="21"/>
    <x v="1"/>
    <x v="52"/>
    <x v="1"/>
    <x v="1"/>
    <x v="0"/>
    <x v="1"/>
  </r>
  <r>
    <x v="37"/>
    <x v="1"/>
    <x v="5"/>
    <x v="3"/>
    <n v="2"/>
    <n v="96.52"/>
    <x v="39"/>
    <x v="37"/>
    <x v="0"/>
    <x v="53"/>
    <x v="1"/>
    <x v="1"/>
    <x v="1"/>
    <x v="1"/>
  </r>
  <r>
    <x v="38"/>
    <x v="0"/>
    <x v="4"/>
    <x v="3"/>
    <n v="1"/>
    <n v="136.44999999999999"/>
    <x v="28"/>
    <x v="27"/>
    <x v="0"/>
    <x v="54"/>
    <x v="1"/>
    <x v="1"/>
    <x v="1"/>
    <x v="1"/>
  </r>
  <r>
    <x v="39"/>
    <x v="1"/>
    <x v="4"/>
    <x v="3"/>
    <n v="2"/>
    <n v="94.82"/>
    <x v="28"/>
    <x v="27"/>
    <x v="0"/>
    <x v="55"/>
    <x v="1"/>
    <x v="1"/>
    <x v="0"/>
    <x v="1"/>
  </r>
  <r>
    <x v="40"/>
    <x v="0"/>
    <x v="1"/>
    <x v="3"/>
    <n v="1"/>
    <n v="96.8"/>
    <x v="12"/>
    <x v="12"/>
    <x v="1"/>
    <x v="56"/>
    <x v="0"/>
    <x v="1"/>
    <x v="0"/>
    <x v="1"/>
  </r>
  <r>
    <x v="41"/>
    <x v="0"/>
    <x v="1"/>
    <x v="3"/>
    <n v="1"/>
    <n v="106.6"/>
    <x v="40"/>
    <x v="38"/>
    <x v="1"/>
    <x v="57"/>
    <x v="1"/>
    <x v="1"/>
    <x v="0"/>
    <x v="1"/>
  </r>
  <r>
    <x v="26"/>
    <x v="0"/>
    <x v="3"/>
    <x v="3"/>
    <n v="2"/>
    <n v="94.11"/>
    <x v="41"/>
    <x v="39"/>
    <x v="0"/>
    <x v="58"/>
    <x v="1"/>
    <x v="1"/>
    <x v="1"/>
    <x v="1"/>
  </r>
  <r>
    <x v="42"/>
    <x v="1"/>
    <x v="3"/>
    <x v="3"/>
    <n v="1"/>
    <n v="100.62"/>
    <x v="42"/>
    <x v="40"/>
    <x v="0"/>
    <x v="59"/>
    <x v="1"/>
    <x v="1"/>
    <x v="1"/>
    <x v="1"/>
  </r>
  <r>
    <x v="43"/>
    <x v="1"/>
    <x v="3"/>
    <x v="3"/>
    <n v="2"/>
    <n v="134.37"/>
    <x v="16"/>
    <x v="16"/>
    <x v="0"/>
    <x v="60"/>
    <x v="1"/>
    <x v="1"/>
    <x v="1"/>
    <x v="1"/>
  </r>
  <r>
    <x v="44"/>
    <x v="0"/>
    <x v="5"/>
    <x v="3"/>
    <n v="2"/>
    <n v="130.84"/>
    <x v="43"/>
    <x v="23"/>
    <x v="1"/>
    <x v="61"/>
    <x v="1"/>
    <x v="1"/>
    <x v="1"/>
    <x v="1"/>
  </r>
  <r>
    <x v="45"/>
    <x v="1"/>
    <x v="5"/>
    <x v="3"/>
    <n v="1"/>
    <n v="121.71"/>
    <x v="11"/>
    <x v="11"/>
    <x v="1"/>
    <x v="62"/>
    <x v="5"/>
    <x v="1"/>
    <x v="1"/>
    <x v="1"/>
  </r>
  <r>
    <x v="2"/>
    <x v="0"/>
    <x v="5"/>
    <x v="3"/>
    <n v="2"/>
    <n v="89.91"/>
    <x v="21"/>
    <x v="21"/>
    <x v="1"/>
    <x v="63"/>
    <x v="0"/>
    <x v="1"/>
    <x v="0"/>
    <x v="1"/>
  </r>
  <r>
    <x v="14"/>
    <x v="0"/>
    <x v="0"/>
    <x v="3"/>
    <n v="2"/>
    <n v="92.85"/>
    <x v="0"/>
    <x v="0"/>
    <x v="0"/>
    <x v="64"/>
    <x v="1"/>
    <x v="1"/>
    <x v="1"/>
    <x v="1"/>
  </r>
  <r>
    <x v="0"/>
    <x v="0"/>
    <x v="0"/>
    <x v="3"/>
    <n v="1"/>
    <n v="96.67"/>
    <x v="2"/>
    <x v="2"/>
    <x v="1"/>
    <x v="65"/>
    <x v="1"/>
    <x v="1"/>
    <x v="1"/>
    <x v="1"/>
  </r>
  <r>
    <x v="20"/>
    <x v="0"/>
    <x v="0"/>
    <x v="3"/>
    <n v="2"/>
    <n v="129.47"/>
    <x v="36"/>
    <x v="34"/>
    <x v="1"/>
    <x v="66"/>
    <x v="0"/>
    <x v="1"/>
    <x v="0"/>
    <x v="1"/>
  </r>
  <r>
    <x v="46"/>
    <x v="0"/>
    <x v="5"/>
    <x v="3"/>
    <n v="1"/>
    <n v="96"/>
    <x v="29"/>
    <x v="28"/>
    <x v="0"/>
    <x v="67"/>
    <x v="1"/>
    <x v="1"/>
    <x v="1"/>
    <x v="1"/>
  </r>
  <r>
    <x v="47"/>
    <x v="1"/>
    <x v="5"/>
    <x v="3"/>
    <n v="2"/>
    <n v="115.15"/>
    <x v="29"/>
    <x v="28"/>
    <x v="0"/>
    <x v="68"/>
    <x v="1"/>
    <x v="1"/>
    <x v="1"/>
    <x v="1"/>
  </r>
  <r>
    <x v="36"/>
    <x v="1"/>
    <x v="9"/>
    <x v="4"/>
    <n v="1"/>
    <n v="200"/>
    <x v="44"/>
    <x v="41"/>
    <x v="0"/>
    <x v="69"/>
    <x v="1"/>
    <x v="2"/>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6" firstHeaderRow="1" firstDataRow="1" firstDataCol="1"/>
  <pivotFields count="16">
    <pivotField dataField="1" showAll="0">
      <items count="49">
        <item x="25"/>
        <item x="23"/>
        <item x="1"/>
        <item x="14"/>
        <item x="4"/>
        <item x="31"/>
        <item x="2"/>
        <item x="29"/>
        <item x="39"/>
        <item x="37"/>
        <item x="26"/>
        <item x="41"/>
        <item x="47"/>
        <item x="5"/>
        <item x="0"/>
        <item x="27"/>
        <item x="24"/>
        <item x="3"/>
        <item x="46"/>
        <item x="40"/>
        <item x="36"/>
        <item x="20"/>
        <item x="33"/>
        <item x="32"/>
        <item x="43"/>
        <item x="38"/>
        <item x="28"/>
        <item x="22"/>
        <item x="34"/>
        <item x="19"/>
        <item x="44"/>
        <item x="6"/>
        <item x="8"/>
        <item x="18"/>
        <item x="17"/>
        <item x="35"/>
        <item x="45"/>
        <item x="42"/>
        <item x="11"/>
        <item x="7"/>
        <item x="30"/>
        <item x="9"/>
        <item x="13"/>
        <item x="10"/>
        <item x="15"/>
        <item x="12"/>
        <item x="16"/>
        <item x="21"/>
        <item t="default"/>
      </items>
    </pivotField>
    <pivotField showAll="0"/>
    <pivotField showAll="0"/>
    <pivotField showAll="0"/>
    <pivotField showAll="0"/>
    <pivotField showAll="0"/>
    <pivotField showAll="0"/>
    <pivotField showAll="0"/>
    <pivotField axis="axisRow" showAll="0" measureFilter="1">
      <items count="3">
        <item x="0"/>
        <item x="1"/>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8"/>
  </rowFields>
  <rowItems count="3">
    <i>
      <x/>
    </i>
    <i>
      <x v="1"/>
    </i>
    <i t="grand">
      <x/>
    </i>
  </rowItems>
  <colItems count="1">
    <i/>
  </colItems>
  <dataFields count="1">
    <dataField name="Percentsge" fld="0" subtotal="count" baseField="8" baseItem="0"/>
  </dataFields>
  <chartFormats count="6">
    <chartFormat chart="0" format="0"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8" count="1" selected="0">
            <x v="0"/>
          </reference>
        </references>
      </pivotArea>
    </chartFormat>
    <chartFormat chart="8" format="12">
      <pivotArea type="data" outline="0" fieldPosition="0">
        <references count="2">
          <reference field="4294967294" count="1" selected="0">
            <x v="0"/>
          </reference>
          <reference field="8" count="1" selected="0">
            <x v="1"/>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13" firstHeaderRow="1" firstDataRow="2" firstDataCol="1"/>
  <pivotFields count="16">
    <pivotField dataField="1" showAll="0"/>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axis="axisRow" showAll="0">
      <items count="4">
        <item x="1"/>
        <item x="2"/>
        <item x="0"/>
        <item t="default"/>
      </items>
    </pivotField>
    <pivotField axis="axisRow" showAll="0">
      <items count="3">
        <item x="0"/>
        <item x="1"/>
        <item t="default"/>
      </items>
    </pivotField>
    <pivotField axis="axisCol" showAll="0">
      <items count="3">
        <item x="0"/>
        <item x="1"/>
        <item t="default"/>
      </items>
    </pivotField>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2">
    <field x="11"/>
    <field x="12"/>
  </rowFields>
  <rowItems count="9">
    <i>
      <x/>
    </i>
    <i r="1">
      <x/>
    </i>
    <i r="1">
      <x v="1"/>
    </i>
    <i>
      <x v="1"/>
    </i>
    <i r="1">
      <x v="1"/>
    </i>
    <i>
      <x v="2"/>
    </i>
    <i r="1">
      <x/>
    </i>
    <i r="1">
      <x v="1"/>
    </i>
    <i t="grand">
      <x/>
    </i>
  </rowItems>
  <colFields count="1">
    <field x="13"/>
  </colFields>
  <colItems count="3">
    <i>
      <x/>
    </i>
    <i>
      <x v="1"/>
    </i>
    <i t="grand">
      <x/>
    </i>
  </colItems>
  <dataFields count="1">
    <dataField name="Count of Score" fld="0" subtotal="count" baseField="0" baseItem="102550938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BATTING ORDER">
  <location ref="A3:B9" firstHeaderRow="1" firstDataRow="1" firstDataCol="1"/>
  <pivotFields count="16">
    <pivotField dataField="1" showAll="0"/>
    <pivotField showAll="0"/>
    <pivotField showAll="0"/>
    <pivotField axis="axisRow" showAll="0">
      <items count="6">
        <item x="4"/>
        <item x="3"/>
        <item x="2"/>
        <item x="1"/>
        <item x="0"/>
        <item t="default"/>
      </items>
    </pivotField>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items count="7">
        <item x="2"/>
        <item x="0"/>
        <item x="3"/>
        <item x="5"/>
        <item x="1"/>
        <item x="4"/>
        <item t="default"/>
      </items>
    </pivotField>
    <pivotField showAll="0">
      <items count="4">
        <item x="1"/>
        <item x="2"/>
        <item x="0"/>
        <item t="default"/>
      </items>
    </pivotField>
    <pivotField showAll="0"/>
    <pivotField showAll="0"/>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3"/>
  </rowFields>
  <rowItems count="6">
    <i>
      <x/>
    </i>
    <i>
      <x v="1"/>
    </i>
    <i>
      <x v="2"/>
    </i>
    <i>
      <x v="3"/>
    </i>
    <i>
      <x v="4"/>
    </i>
    <i t="grand">
      <x/>
    </i>
  </rowItems>
  <colItems count="1">
    <i/>
  </colItems>
  <dataFields count="1">
    <dataField name="Count of Centuries" fld="0" subtotal="count" baseField="3" baseItem="0"/>
  </dataFields>
  <chartFormats count="2">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H15" firstHeaderRow="1" firstDataRow="2" firstDataCol="1"/>
  <pivotFields count="16">
    <pivotField dataField="1" showAll="0"/>
    <pivotField showAll="0"/>
    <pivotField axis="axisRow" showAll="0">
      <items count="11">
        <item x="9"/>
        <item x="0"/>
        <item x="6"/>
        <item x="2"/>
        <item x="1"/>
        <item x="7"/>
        <item x="3"/>
        <item x="4"/>
        <item x="5"/>
        <item x="8"/>
        <item t="default"/>
      </items>
    </pivotField>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axis="axisCol" showAll="0">
      <items count="7">
        <item x="2"/>
        <item x="0"/>
        <item x="3"/>
        <item x="5"/>
        <item x="1"/>
        <item x="4"/>
        <item t="default"/>
      </items>
    </pivotField>
    <pivotField showAll="0"/>
    <pivotField showAll="0"/>
    <pivotField showAll="0"/>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2"/>
  </rowFields>
  <rowItems count="11">
    <i>
      <x/>
    </i>
    <i>
      <x v="1"/>
    </i>
    <i>
      <x v="2"/>
    </i>
    <i>
      <x v="3"/>
    </i>
    <i>
      <x v="4"/>
    </i>
    <i>
      <x v="5"/>
    </i>
    <i>
      <x v="6"/>
    </i>
    <i>
      <x v="7"/>
    </i>
    <i>
      <x v="8"/>
    </i>
    <i>
      <x v="9"/>
    </i>
    <i t="grand">
      <x/>
    </i>
  </rowItems>
  <colFields count="1">
    <field x="10"/>
  </colFields>
  <colItems count="7">
    <i>
      <x/>
    </i>
    <i>
      <x v="1"/>
    </i>
    <i>
      <x v="2"/>
    </i>
    <i>
      <x v="3"/>
    </i>
    <i>
      <x v="4"/>
    </i>
    <i>
      <x v="5"/>
    </i>
    <i t="grand">
      <x/>
    </i>
  </colItems>
  <dataFields count="1">
    <dataField name="Count of Centuries" fld="0" subtotal="count" baseField="2" baseItem="0"/>
  </dataFields>
  <chartFormats count="12">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0" format="5" series="1">
      <pivotArea type="data" outline="0" fieldPosition="0">
        <references count="2">
          <reference field="4294967294" count="1" selected="0">
            <x v="0"/>
          </reference>
          <reference field="10" count="1" selected="0">
            <x v="5"/>
          </reference>
        </references>
      </pivotArea>
    </chartFormat>
    <chartFormat chart="8" format="24" series="1">
      <pivotArea type="data" outline="0" fieldPosition="0">
        <references count="2">
          <reference field="4294967294" count="1" selected="0">
            <x v="0"/>
          </reference>
          <reference field="10" count="1" selected="0">
            <x v="0"/>
          </reference>
        </references>
      </pivotArea>
    </chartFormat>
    <chartFormat chart="8" format="25" series="1">
      <pivotArea type="data" outline="0" fieldPosition="0">
        <references count="2">
          <reference field="4294967294" count="1" selected="0">
            <x v="0"/>
          </reference>
          <reference field="10" count="1" selected="0">
            <x v="1"/>
          </reference>
        </references>
      </pivotArea>
    </chartFormat>
    <chartFormat chart="8" format="26" series="1">
      <pivotArea type="data" outline="0" fieldPosition="0">
        <references count="2">
          <reference field="4294967294" count="1" selected="0">
            <x v="0"/>
          </reference>
          <reference field="10" count="1" selected="0">
            <x v="2"/>
          </reference>
        </references>
      </pivotArea>
    </chartFormat>
    <chartFormat chart="8" format="27" series="1">
      <pivotArea type="data" outline="0" fieldPosition="0">
        <references count="2">
          <reference field="4294967294" count="1" selected="0">
            <x v="0"/>
          </reference>
          <reference field="10" count="1" selected="0">
            <x v="3"/>
          </reference>
        </references>
      </pivotArea>
    </chartFormat>
    <chartFormat chart="8" format="28" series="1">
      <pivotArea type="data" outline="0" fieldPosition="0">
        <references count="2">
          <reference field="4294967294" count="1" selected="0">
            <x v="0"/>
          </reference>
          <reference field="10" count="1" selected="0">
            <x v="4"/>
          </reference>
        </references>
      </pivotArea>
    </chartFormat>
    <chartFormat chart="8" format="29" series="1">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49" firstHeaderRow="1" firstDataRow="1" firstDataCol="1"/>
  <pivotFields count="16">
    <pivotField dataField="1" showAll="0"/>
    <pivotField showAll="0"/>
    <pivotField showAll="0"/>
    <pivotField showAll="0"/>
    <pivotField showAll="0"/>
    <pivotField showAll="0"/>
    <pivotField axis="axisRow" showAll="0">
      <items count="46">
        <item x="43"/>
        <item x="11"/>
        <item x="0"/>
        <item x="23"/>
        <item x="5"/>
        <item x="26"/>
        <item x="44"/>
        <item x="14"/>
        <item x="17"/>
        <item x="15"/>
        <item x="8"/>
        <item x="40"/>
        <item x="30"/>
        <item x="10"/>
        <item x="35"/>
        <item x="36"/>
        <item x="34"/>
        <item x="41"/>
        <item x="3"/>
        <item x="1"/>
        <item x="21"/>
        <item x="37"/>
        <item x="33"/>
        <item x="6"/>
        <item x="27"/>
        <item x="24"/>
        <item x="42"/>
        <item x="20"/>
        <item x="38"/>
        <item x="29"/>
        <item x="28"/>
        <item x="13"/>
        <item x="39"/>
        <item x="19"/>
        <item x="31"/>
        <item x="22"/>
        <item x="9"/>
        <item x="25"/>
        <item x="16"/>
        <item x="7"/>
        <item x="18"/>
        <item x="32"/>
        <item x="2"/>
        <item x="4"/>
        <item x="12"/>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7">
        <item x="0"/>
        <item x="1"/>
        <item x="2"/>
        <item x="3"/>
        <item x="4"/>
        <item x="5"/>
        <item t="default"/>
      </items>
    </pivotField>
    <pivotField showAll="0">
      <items count="17">
        <item x="0"/>
        <item x="1"/>
        <item x="2"/>
        <item x="3"/>
        <item x="4"/>
        <item x="5"/>
        <item x="6"/>
        <item x="7"/>
        <item x="8"/>
        <item x="9"/>
        <item x="10"/>
        <item x="11"/>
        <item x="12"/>
        <item x="13"/>
        <item x="14"/>
        <item x="15"/>
        <item t="default"/>
      </items>
    </pivotField>
  </pivotFields>
  <rowFields count="1">
    <field x="6"/>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Century Percentage" fld="0" subtotal="count" baseField="6" baseItem="10"/>
  </dataFields>
  <chartFormats count="2">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7"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S">
  <location ref="A3:B16" firstHeaderRow="1" firstDataRow="1" firstDataCol="1"/>
  <pivotFields count="16">
    <pivotField dataField="1" showAll="0"/>
    <pivotField showAll="0"/>
    <pivotField showAll="0"/>
    <pivotField showAll="0"/>
    <pivotField showAll="0"/>
    <pivotField showAll="0"/>
    <pivotField showAll="0">
      <items count="46">
        <item x="43"/>
        <item x="11"/>
        <item x="0"/>
        <item x="23"/>
        <item x="5"/>
        <item x="26"/>
        <item x="44"/>
        <item x="14"/>
        <item x="17"/>
        <item x="15"/>
        <item x="8"/>
        <item x="40"/>
        <item x="30"/>
        <item x="10"/>
        <item x="35"/>
        <item x="36"/>
        <item x="34"/>
        <item x="41"/>
        <item x="3"/>
        <item x="1"/>
        <item x="21"/>
        <item x="37"/>
        <item x="33"/>
        <item x="6"/>
        <item x="27"/>
        <item x="24"/>
        <item x="42"/>
        <item x="20"/>
        <item x="38"/>
        <item x="29"/>
        <item x="28"/>
        <item x="13"/>
        <item x="39"/>
        <item x="19"/>
        <item x="31"/>
        <item x="22"/>
        <item x="9"/>
        <item x="25"/>
        <item x="16"/>
        <item x="7"/>
        <item x="18"/>
        <item x="32"/>
        <item x="2"/>
        <item x="4"/>
        <item x="12"/>
        <item t="default"/>
      </items>
    </pivotField>
    <pivotField showAll="0">
      <items count="43">
        <item x="0"/>
        <item x="1"/>
        <item x="17"/>
        <item x="35"/>
        <item x="40"/>
        <item x="24"/>
        <item x="16"/>
        <item x="3"/>
        <item x="27"/>
        <item x="15"/>
        <item x="22"/>
        <item x="33"/>
        <item x="39"/>
        <item x="32"/>
        <item x="8"/>
        <item x="23"/>
        <item x="26"/>
        <item x="29"/>
        <item x="25"/>
        <item x="13"/>
        <item x="10"/>
        <item x="30"/>
        <item x="4"/>
        <item x="38"/>
        <item x="37"/>
        <item x="14"/>
        <item x="6"/>
        <item x="36"/>
        <item x="12"/>
        <item x="2"/>
        <item x="31"/>
        <item x="9"/>
        <item x="18"/>
        <item x="20"/>
        <item x="28"/>
        <item x="21"/>
        <item x="19"/>
        <item x="34"/>
        <item x="7"/>
        <item x="11"/>
        <item x="5"/>
        <item x="41"/>
        <item t="default"/>
      </items>
    </pivotField>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7">
        <item sd="0" x="0"/>
        <item sd="0" x="1"/>
        <item sd="0" x="2"/>
        <item sd="0" x="3"/>
        <item sd="0" x="4"/>
        <item sd="0" x="5"/>
        <item t="default"/>
      </items>
    </pivotField>
    <pivotField axis="axisRow" showAll="0">
      <items count="17">
        <item sd="0" x="0"/>
        <item sd="0" x="1"/>
        <item sd="0" x="2"/>
        <item sd="0" x="3"/>
        <item sd="0" x="4"/>
        <item sd="0" x="5"/>
        <item sd="0" x="6"/>
        <item sd="0" x="7"/>
        <item sd="0" x="8"/>
        <item sd="0" x="9"/>
        <item sd="0" x="10"/>
        <item sd="0" x="11"/>
        <item sd="0" x="12"/>
        <item sd="0" x="13"/>
        <item sd="0" x="14"/>
        <item sd="0" x="15"/>
        <item t="default"/>
      </items>
    </pivotField>
  </pivotFields>
  <rowFields count="2">
    <field x="15"/>
    <field x="9"/>
  </rowFields>
  <rowItems count="13">
    <i>
      <x v="1"/>
    </i>
    <i>
      <x v="2"/>
    </i>
    <i>
      <x v="3"/>
    </i>
    <i>
      <x v="4"/>
    </i>
    <i>
      <x v="5"/>
    </i>
    <i>
      <x v="6"/>
    </i>
    <i>
      <x v="7"/>
    </i>
    <i>
      <x v="8"/>
    </i>
    <i>
      <x v="9"/>
    </i>
    <i>
      <x v="10"/>
    </i>
    <i>
      <x v="11"/>
    </i>
    <i>
      <x v="14"/>
    </i>
    <i t="grand">
      <x/>
    </i>
  </rowItems>
  <colItems count="1">
    <i/>
  </colItems>
  <dataFields count="1">
    <dataField name="Count of Centuries" fld="0" subtotal="count" baseField="15"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2244C00E-168F-4374-82B7-72722F0F03DC}" sourceName="Years">
  <pivotTables>
    <pivotTable tabId="5" name="PivotTable4"/>
    <pivotTable tabId="4" name="PivotTable3"/>
    <pivotTable tabId="3" name="PivotTable2"/>
    <pivotTable tabId="2" name="PivotTable1"/>
    <pivotTable tabId="6" name="PivotTable5"/>
    <pivotTable tabId="8" name="PivotTable7"/>
  </pivotTables>
  <data>
    <tabular pivotCacheId="1917838182">
      <items count="16">
        <i x="1" s="1"/>
        <i x="2" s="1"/>
        <i x="3" s="1"/>
        <i x="4" s="1"/>
        <i x="5" s="1"/>
        <i x="6" s="1"/>
        <i x="7" s="1"/>
        <i x="8" s="1"/>
        <i x="9" s="1"/>
        <i x="10" s="1"/>
        <i x="11" s="1"/>
        <i x="14" s="1"/>
        <i x="0" s="1" nd="1"/>
        <i x="15" s="1" nd="1"/>
        <i x="12"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E39A80C8-FDB8-4857-9A5A-EEE74EB9DAF8}" cache="Slicer_Years" caption="Year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2" xr10:uid="{30482FA1-AB74-4858-AE33-0351018168F8}" cache="Slicer_Years" caption="Year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3" xr10:uid="{0F401FD3-D29B-4563-9961-45CE5A019C41}" cache="Slicer_Years" caption="Years"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4" xr10:uid="{69004A38-8E40-42E2-B126-126DA0E70827}" cache="Slicer_Years" caption="Years"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5" xr10:uid="{BF5FAC1D-4AA4-4886-98D5-CC108BECA56B}" cache="Slicer_Years" caption="Years"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514EAD97-B2CA-4317-AD0F-86B5CA88F019}" cache="Slicer_Years" caption="Years"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72" totalsRowShown="0">
  <autoFilter ref="A1:N72" xr:uid="{00000000-0009-0000-0100-000001000000}"/>
  <tableColumns count="14">
    <tableColumn id="1" xr3:uid="{00000000-0010-0000-0000-000001000000}" name="Score"/>
    <tableColumn id="2" xr3:uid="{00000000-0010-0000-0000-000002000000}" name="Out/Not Out"/>
    <tableColumn id="3" xr3:uid="{00000000-0010-0000-0000-000003000000}" name="Against"/>
    <tableColumn id="4" xr3:uid="{00000000-0010-0000-0000-000004000000}" name="Batting Order"/>
    <tableColumn id="5" xr3:uid="{00000000-0010-0000-0000-000005000000}" name="Inn."/>
    <tableColumn id="6" xr3:uid="{00000000-0010-0000-0000-000006000000}" name="Strike Rate"/>
    <tableColumn id="7" xr3:uid="{00000000-0010-0000-0000-000007000000}" name="Venue"/>
    <tableColumn id="8" xr3:uid="{00000000-0010-0000-0000-000008000000}" name="City"/>
    <tableColumn id="9" xr3:uid="{00000000-0010-0000-0000-000009000000}" name="H/A"/>
    <tableColumn id="10" xr3:uid="{00000000-0010-0000-0000-00000A000000}" name="Date" dataDxfId="0"/>
    <tableColumn id="11" xr3:uid="{00000000-0010-0000-0000-00000B000000}" name="Result"/>
    <tableColumn id="12" xr3:uid="{00000000-0010-0000-0000-00000C000000}" name="Format"/>
    <tableColumn id="13" xr3:uid="{00000000-0010-0000-0000-00000D000000}" name="Man of the Match"/>
    <tableColumn id="14" xr3:uid="{00000000-0010-0000-0000-00000E000000}" name="Captai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7.xml"/><Relationship Id="rId1" Type="http://schemas.openxmlformats.org/officeDocument/2006/relationships/printerSettings" Target="../printerSettings/printerSettings1.bin"/><Relationship Id="rId4" Type="http://schemas.microsoft.com/office/2007/relationships/slicer" Target="../slicers/slicer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6"/>
  <sheetViews>
    <sheetView workbookViewId="0">
      <selection activeCell="AB5" sqref="AB5"/>
    </sheetView>
  </sheetViews>
  <sheetFormatPr defaultRowHeight="14.4" x14ac:dyDescent="0.3"/>
  <cols>
    <col min="1" max="1" width="12.5546875" bestFit="1" customWidth="1"/>
    <col min="2" max="2" width="10.21875" bestFit="1" customWidth="1"/>
    <col min="3" max="49" width="4" bestFit="1" customWidth="1"/>
    <col min="50" max="50" width="10.77734375" bestFit="1" customWidth="1"/>
  </cols>
  <sheetData>
    <row r="3" spans="1:2" x14ac:dyDescent="0.3">
      <c r="A3" s="2" t="s">
        <v>125</v>
      </c>
      <c r="B3" t="s">
        <v>144</v>
      </c>
    </row>
    <row r="4" spans="1:2" x14ac:dyDescent="0.3">
      <c r="A4" s="3" t="s">
        <v>17</v>
      </c>
      <c r="B4" s="1">
        <v>39</v>
      </c>
    </row>
    <row r="5" spans="1:2" x14ac:dyDescent="0.3">
      <c r="A5" s="3" t="s">
        <v>24</v>
      </c>
      <c r="B5" s="1">
        <v>32</v>
      </c>
    </row>
    <row r="6" spans="1:2" x14ac:dyDescent="0.3">
      <c r="A6" s="3" t="s">
        <v>126</v>
      </c>
      <c r="B6" s="1">
        <v>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13"/>
  <sheetViews>
    <sheetView workbookViewId="0">
      <selection activeCell="A3" sqref="A3"/>
    </sheetView>
  </sheetViews>
  <sheetFormatPr defaultRowHeight="14.4" x14ac:dyDescent="0.3"/>
  <cols>
    <col min="1" max="1" width="13.5546875" bestFit="1" customWidth="1"/>
    <col min="2" max="2" width="15.5546875" bestFit="1" customWidth="1"/>
    <col min="3" max="3" width="3.77734375" bestFit="1" customWidth="1"/>
    <col min="4" max="4" width="10.77734375" bestFit="1" customWidth="1"/>
    <col min="5" max="5" width="5.77734375" bestFit="1" customWidth="1"/>
    <col min="6" max="6" width="3.77734375" bestFit="1" customWidth="1"/>
    <col min="7" max="7" width="8.44140625" bestFit="1" customWidth="1"/>
    <col min="8" max="9" width="10.77734375" bestFit="1" customWidth="1"/>
  </cols>
  <sheetData>
    <row r="3" spans="1:4" x14ac:dyDescent="0.3">
      <c r="A3" s="2" t="s">
        <v>128</v>
      </c>
      <c r="B3" s="2" t="s">
        <v>127</v>
      </c>
    </row>
    <row r="4" spans="1:4" x14ac:dyDescent="0.3">
      <c r="A4" s="2" t="s">
        <v>125</v>
      </c>
      <c r="B4" t="s">
        <v>20</v>
      </c>
      <c r="C4" t="s">
        <v>26</v>
      </c>
      <c r="D4" t="s">
        <v>126</v>
      </c>
    </row>
    <row r="5" spans="1:4" x14ac:dyDescent="0.3">
      <c r="A5" s="3" t="s">
        <v>74</v>
      </c>
      <c r="B5" s="1">
        <v>22</v>
      </c>
      <c r="C5" s="1">
        <v>21</v>
      </c>
      <c r="D5" s="1">
        <v>43</v>
      </c>
    </row>
    <row r="6" spans="1:4" x14ac:dyDescent="0.3">
      <c r="A6" s="4" t="s">
        <v>20</v>
      </c>
      <c r="B6" s="1">
        <v>7</v>
      </c>
      <c r="C6" s="1">
        <v>7</v>
      </c>
      <c r="D6" s="1">
        <v>14</v>
      </c>
    </row>
    <row r="7" spans="1:4" x14ac:dyDescent="0.3">
      <c r="A7" s="4" t="s">
        <v>26</v>
      </c>
      <c r="B7" s="1">
        <v>15</v>
      </c>
      <c r="C7" s="1">
        <v>14</v>
      </c>
      <c r="D7" s="1">
        <v>29</v>
      </c>
    </row>
    <row r="8" spans="1:4" x14ac:dyDescent="0.3">
      <c r="A8" s="3" t="s">
        <v>124</v>
      </c>
      <c r="B8" s="1">
        <v>1</v>
      </c>
      <c r="C8" s="1"/>
      <c r="D8" s="1">
        <v>1</v>
      </c>
    </row>
    <row r="9" spans="1:4" x14ac:dyDescent="0.3">
      <c r="A9" s="4" t="s">
        <v>26</v>
      </c>
      <c r="B9" s="1">
        <v>1</v>
      </c>
      <c r="C9" s="1"/>
      <c r="D9" s="1">
        <v>1</v>
      </c>
    </row>
    <row r="10" spans="1:4" x14ac:dyDescent="0.3">
      <c r="A10" s="3" t="s">
        <v>19</v>
      </c>
      <c r="B10" s="1">
        <v>7</v>
      </c>
      <c r="C10" s="1">
        <v>20</v>
      </c>
      <c r="D10" s="1">
        <v>27</v>
      </c>
    </row>
    <row r="11" spans="1:4" x14ac:dyDescent="0.3">
      <c r="A11" s="4" t="s">
        <v>20</v>
      </c>
      <c r="B11" s="1">
        <v>6</v>
      </c>
      <c r="C11" s="1">
        <v>13</v>
      </c>
      <c r="D11" s="1">
        <v>19</v>
      </c>
    </row>
    <row r="12" spans="1:4" x14ac:dyDescent="0.3">
      <c r="A12" s="4" t="s">
        <v>26</v>
      </c>
      <c r="B12" s="1">
        <v>1</v>
      </c>
      <c r="C12" s="1">
        <v>7</v>
      </c>
      <c r="D12" s="1">
        <v>8</v>
      </c>
    </row>
    <row r="13" spans="1:4" x14ac:dyDescent="0.3">
      <c r="A13" s="3" t="s">
        <v>126</v>
      </c>
      <c r="B13" s="1">
        <v>30</v>
      </c>
      <c r="C13" s="1">
        <v>41</v>
      </c>
      <c r="D13" s="1">
        <v>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9"/>
  <sheetViews>
    <sheetView workbookViewId="0">
      <selection activeCell="A4" sqref="A4"/>
    </sheetView>
  </sheetViews>
  <sheetFormatPr defaultRowHeight="14.4" x14ac:dyDescent="0.3"/>
  <cols>
    <col min="1" max="1" width="16.77734375" customWidth="1"/>
    <col min="2" max="2" width="16.77734375" bestFit="1" customWidth="1"/>
    <col min="3" max="3" width="8.5546875" customWidth="1"/>
    <col min="4" max="4" width="9.21875" bestFit="1" customWidth="1"/>
    <col min="5" max="5" width="4.5546875" bestFit="1" customWidth="1"/>
    <col min="6" max="6" width="5" bestFit="1" customWidth="1"/>
    <col min="7" max="7" width="9.77734375" bestFit="1" customWidth="1"/>
    <col min="8" max="8" width="10.77734375" bestFit="1" customWidth="1"/>
  </cols>
  <sheetData>
    <row r="3" spans="1:2" x14ac:dyDescent="0.3">
      <c r="A3" s="2" t="s">
        <v>147</v>
      </c>
      <c r="B3" t="s">
        <v>129</v>
      </c>
    </row>
    <row r="4" spans="1:2" x14ac:dyDescent="0.3">
      <c r="A4" s="3">
        <v>1</v>
      </c>
      <c r="B4" s="1">
        <v>1</v>
      </c>
    </row>
    <row r="5" spans="1:2" x14ac:dyDescent="0.3">
      <c r="A5" s="3">
        <v>3</v>
      </c>
      <c r="B5" s="1">
        <v>36</v>
      </c>
    </row>
    <row r="6" spans="1:2" x14ac:dyDescent="0.3">
      <c r="A6" s="3">
        <v>4</v>
      </c>
      <c r="B6" s="1">
        <v>30</v>
      </c>
    </row>
    <row r="7" spans="1:2" x14ac:dyDescent="0.3">
      <c r="A7" s="3">
        <v>5</v>
      </c>
      <c r="B7" s="1">
        <v>3</v>
      </c>
    </row>
    <row r="8" spans="1:2" x14ac:dyDescent="0.3">
      <c r="A8" s="3">
        <v>6</v>
      </c>
      <c r="B8" s="1">
        <v>1</v>
      </c>
    </row>
    <row r="9" spans="1:2" x14ac:dyDescent="0.3">
      <c r="A9" s="3" t="s">
        <v>126</v>
      </c>
      <c r="B9" s="1">
        <v>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H15"/>
  <sheetViews>
    <sheetView workbookViewId="0">
      <selection activeCell="S32" sqref="S32"/>
    </sheetView>
  </sheetViews>
  <sheetFormatPr defaultRowHeight="14.4" x14ac:dyDescent="0.3"/>
  <cols>
    <col min="1" max="1" width="16.77734375" bestFit="1" customWidth="1"/>
    <col min="2" max="2" width="15.5546875" bestFit="1" customWidth="1"/>
    <col min="3" max="3" width="4.44140625" bestFit="1" customWidth="1"/>
    <col min="4" max="4" width="9.21875" bestFit="1" customWidth="1"/>
    <col min="5" max="5" width="4.5546875" bestFit="1" customWidth="1"/>
    <col min="6" max="6" width="5" bestFit="1" customWidth="1"/>
    <col min="7" max="7" width="9.77734375" bestFit="1" customWidth="1"/>
    <col min="8" max="8" width="10.77734375" bestFit="1" customWidth="1"/>
  </cols>
  <sheetData>
    <row r="3" spans="1:8" x14ac:dyDescent="0.3">
      <c r="A3" s="2" t="s">
        <v>129</v>
      </c>
      <c r="B3" s="2" t="s">
        <v>127</v>
      </c>
    </row>
    <row r="4" spans="1:8" x14ac:dyDescent="0.3">
      <c r="A4" s="2" t="s">
        <v>125</v>
      </c>
      <c r="B4" t="s">
        <v>30</v>
      </c>
      <c r="C4" t="s">
        <v>18</v>
      </c>
      <c r="D4" t="s">
        <v>82</v>
      </c>
      <c r="E4" t="s">
        <v>120</v>
      </c>
      <c r="F4" t="s">
        <v>25</v>
      </c>
      <c r="G4" t="s">
        <v>92</v>
      </c>
      <c r="H4" t="s">
        <v>126</v>
      </c>
    </row>
    <row r="5" spans="1:8" x14ac:dyDescent="0.3">
      <c r="A5" s="3" t="s">
        <v>121</v>
      </c>
      <c r="B5" s="1"/>
      <c r="C5" s="1"/>
      <c r="D5" s="1"/>
      <c r="E5" s="1"/>
      <c r="F5" s="1">
        <v>1</v>
      </c>
      <c r="G5" s="1"/>
      <c r="H5" s="1">
        <v>1</v>
      </c>
    </row>
    <row r="6" spans="1:8" x14ac:dyDescent="0.3">
      <c r="A6" s="3" t="s">
        <v>14</v>
      </c>
      <c r="B6" s="1">
        <v>2</v>
      </c>
      <c r="C6" s="1">
        <v>7</v>
      </c>
      <c r="D6" s="1"/>
      <c r="E6" s="1"/>
      <c r="F6" s="1">
        <v>6</v>
      </c>
      <c r="G6" s="1"/>
      <c r="H6" s="1">
        <v>15</v>
      </c>
    </row>
    <row r="7" spans="1:8" x14ac:dyDescent="0.3">
      <c r="A7" s="3" t="s">
        <v>55</v>
      </c>
      <c r="B7" s="1"/>
      <c r="C7" s="1"/>
      <c r="D7" s="1"/>
      <c r="E7" s="1"/>
      <c r="F7" s="1">
        <v>5</v>
      </c>
      <c r="G7" s="1"/>
      <c r="H7" s="1">
        <v>5</v>
      </c>
    </row>
    <row r="8" spans="1:8" x14ac:dyDescent="0.3">
      <c r="A8" s="3" t="s">
        <v>27</v>
      </c>
      <c r="B8" s="1">
        <v>1</v>
      </c>
      <c r="C8" s="1">
        <v>1</v>
      </c>
      <c r="D8" s="1">
        <v>1</v>
      </c>
      <c r="E8" s="1"/>
      <c r="F8" s="1">
        <v>5</v>
      </c>
      <c r="G8" s="1"/>
      <c r="H8" s="1">
        <v>8</v>
      </c>
    </row>
    <row r="9" spans="1:8" x14ac:dyDescent="0.3">
      <c r="A9" s="3" t="s">
        <v>21</v>
      </c>
      <c r="B9" s="1">
        <v>1</v>
      </c>
      <c r="C9" s="1">
        <v>2</v>
      </c>
      <c r="D9" s="1"/>
      <c r="E9" s="1"/>
      <c r="F9" s="1">
        <v>5</v>
      </c>
      <c r="G9" s="1"/>
      <c r="H9" s="1">
        <v>8</v>
      </c>
    </row>
    <row r="10" spans="1:8" x14ac:dyDescent="0.3">
      <c r="A10" s="3" t="s">
        <v>85</v>
      </c>
      <c r="B10" s="1"/>
      <c r="C10" s="1"/>
      <c r="D10" s="1"/>
      <c r="E10" s="1"/>
      <c r="F10" s="1">
        <v>2</v>
      </c>
      <c r="G10" s="1"/>
      <c r="H10" s="1">
        <v>2</v>
      </c>
    </row>
    <row r="11" spans="1:8" x14ac:dyDescent="0.3">
      <c r="A11" s="3" t="s">
        <v>33</v>
      </c>
      <c r="B11" s="1">
        <v>1</v>
      </c>
      <c r="C11" s="1">
        <v>1</v>
      </c>
      <c r="D11" s="1"/>
      <c r="E11" s="1"/>
      <c r="F11" s="1">
        <v>5</v>
      </c>
      <c r="G11" s="1"/>
      <c r="H11" s="1">
        <v>7</v>
      </c>
    </row>
    <row r="12" spans="1:8" x14ac:dyDescent="0.3">
      <c r="A12" s="3" t="s">
        <v>43</v>
      </c>
      <c r="B12" s="1">
        <v>2</v>
      </c>
      <c r="C12" s="1">
        <v>1</v>
      </c>
      <c r="D12" s="1"/>
      <c r="E12" s="1"/>
      <c r="F12" s="1">
        <v>10</v>
      </c>
      <c r="G12" s="1"/>
      <c r="H12" s="1">
        <v>13</v>
      </c>
    </row>
    <row r="13" spans="1:8" x14ac:dyDescent="0.3">
      <c r="A13" s="3" t="s">
        <v>46</v>
      </c>
      <c r="B13" s="1"/>
      <c r="C13" s="1">
        <v>1</v>
      </c>
      <c r="D13" s="1"/>
      <c r="E13" s="1">
        <v>1</v>
      </c>
      <c r="F13" s="1">
        <v>8</v>
      </c>
      <c r="G13" s="1">
        <v>1</v>
      </c>
      <c r="H13" s="1">
        <v>11</v>
      </c>
    </row>
    <row r="14" spans="1:8" x14ac:dyDescent="0.3">
      <c r="A14" s="3" t="s">
        <v>93</v>
      </c>
      <c r="B14" s="1"/>
      <c r="C14" s="1"/>
      <c r="D14" s="1"/>
      <c r="E14" s="1"/>
      <c r="F14" s="1">
        <v>1</v>
      </c>
      <c r="G14" s="1"/>
      <c r="H14" s="1">
        <v>1</v>
      </c>
    </row>
    <row r="15" spans="1:8" x14ac:dyDescent="0.3">
      <c r="A15" s="3" t="s">
        <v>126</v>
      </c>
      <c r="B15" s="1">
        <v>7</v>
      </c>
      <c r="C15" s="1">
        <v>13</v>
      </c>
      <c r="D15" s="1">
        <v>1</v>
      </c>
      <c r="E15" s="1">
        <v>1</v>
      </c>
      <c r="F15" s="1">
        <v>48</v>
      </c>
      <c r="G15" s="1">
        <v>1</v>
      </c>
      <c r="H15" s="1">
        <v>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49"/>
  <sheetViews>
    <sheetView topLeftCell="A64" workbookViewId="0">
      <selection activeCell="S60" sqref="S60"/>
    </sheetView>
  </sheetViews>
  <sheetFormatPr defaultRowHeight="14.4" x14ac:dyDescent="0.3"/>
  <cols>
    <col min="1" max="1" width="37.5546875" bestFit="1" customWidth="1"/>
    <col min="2" max="2" width="17.77734375" bestFit="1" customWidth="1"/>
  </cols>
  <sheetData>
    <row r="3" spans="1:2" x14ac:dyDescent="0.3">
      <c r="A3" s="2" t="s">
        <v>125</v>
      </c>
      <c r="B3" t="s">
        <v>130</v>
      </c>
    </row>
    <row r="4" spans="1:2" x14ac:dyDescent="0.3">
      <c r="A4" s="3" t="s">
        <v>119</v>
      </c>
      <c r="B4" s="1">
        <v>1</v>
      </c>
    </row>
    <row r="5" spans="1:2" x14ac:dyDescent="0.3">
      <c r="A5" s="3" t="s">
        <v>51</v>
      </c>
      <c r="B5" s="1">
        <v>2</v>
      </c>
    </row>
    <row r="6" spans="1:2" x14ac:dyDescent="0.3">
      <c r="A6" s="3" t="s">
        <v>15</v>
      </c>
      <c r="B6" s="1">
        <v>5</v>
      </c>
    </row>
    <row r="7" spans="1:2" x14ac:dyDescent="0.3">
      <c r="A7" s="3" t="s">
        <v>77</v>
      </c>
      <c r="B7" s="1">
        <v>2</v>
      </c>
    </row>
    <row r="8" spans="1:2" x14ac:dyDescent="0.3">
      <c r="A8" s="3" t="s">
        <v>37</v>
      </c>
      <c r="B8" s="1">
        <v>1</v>
      </c>
    </row>
    <row r="9" spans="1:2" x14ac:dyDescent="0.3">
      <c r="A9" s="3" t="s">
        <v>83</v>
      </c>
      <c r="B9" s="1">
        <v>1</v>
      </c>
    </row>
    <row r="10" spans="1:2" x14ac:dyDescent="0.3">
      <c r="A10" s="3" t="s">
        <v>122</v>
      </c>
      <c r="B10" s="1">
        <v>1</v>
      </c>
    </row>
    <row r="11" spans="1:2" x14ac:dyDescent="0.3">
      <c r="A11" s="3" t="s">
        <v>58</v>
      </c>
      <c r="B11" s="1">
        <v>3</v>
      </c>
    </row>
    <row r="12" spans="1:2" x14ac:dyDescent="0.3">
      <c r="A12" s="3" t="s">
        <v>64</v>
      </c>
      <c r="B12" s="1">
        <v>1</v>
      </c>
    </row>
    <row r="13" spans="1:2" x14ac:dyDescent="0.3">
      <c r="A13" s="3" t="s">
        <v>60</v>
      </c>
      <c r="B13" s="1">
        <v>2</v>
      </c>
    </row>
    <row r="14" spans="1:2" x14ac:dyDescent="0.3">
      <c r="A14" s="3" t="s">
        <v>44</v>
      </c>
      <c r="B14" s="1">
        <v>2</v>
      </c>
    </row>
    <row r="15" spans="1:2" x14ac:dyDescent="0.3">
      <c r="A15" s="3" t="s">
        <v>113</v>
      </c>
      <c r="B15" s="1">
        <v>1</v>
      </c>
    </row>
    <row r="16" spans="1:2" x14ac:dyDescent="0.3">
      <c r="A16" s="3" t="s">
        <v>94</v>
      </c>
      <c r="B16" s="1">
        <v>1</v>
      </c>
    </row>
    <row r="17" spans="1:2" x14ac:dyDescent="0.3">
      <c r="A17" s="3" t="s">
        <v>49</v>
      </c>
      <c r="B17" s="1">
        <v>1</v>
      </c>
    </row>
    <row r="18" spans="1:2" x14ac:dyDescent="0.3">
      <c r="A18" s="3" t="s">
        <v>103</v>
      </c>
      <c r="B18" s="1">
        <v>1</v>
      </c>
    </row>
    <row r="19" spans="1:2" x14ac:dyDescent="0.3">
      <c r="A19" s="3" t="s">
        <v>105</v>
      </c>
      <c r="B19" s="1">
        <v>2</v>
      </c>
    </row>
    <row r="20" spans="1:2" x14ac:dyDescent="0.3">
      <c r="A20" s="3" t="s">
        <v>101</v>
      </c>
      <c r="B20" s="1">
        <v>1</v>
      </c>
    </row>
    <row r="21" spans="1:2" x14ac:dyDescent="0.3">
      <c r="A21" s="3" t="s">
        <v>115</v>
      </c>
      <c r="B21" s="1">
        <v>1</v>
      </c>
    </row>
    <row r="22" spans="1:2" x14ac:dyDescent="0.3">
      <c r="A22" s="3" t="s">
        <v>31</v>
      </c>
      <c r="B22" s="1">
        <v>2</v>
      </c>
    </row>
    <row r="23" spans="1:2" x14ac:dyDescent="0.3">
      <c r="A23" s="3" t="s">
        <v>22</v>
      </c>
      <c r="B23" s="1">
        <v>1</v>
      </c>
    </row>
    <row r="24" spans="1:2" x14ac:dyDescent="0.3">
      <c r="A24" s="3" t="s">
        <v>72</v>
      </c>
      <c r="B24" s="1">
        <v>3</v>
      </c>
    </row>
    <row r="25" spans="1:2" x14ac:dyDescent="0.3">
      <c r="A25" s="3" t="s">
        <v>107</v>
      </c>
      <c r="B25" s="1">
        <v>1</v>
      </c>
    </row>
    <row r="26" spans="1:2" x14ac:dyDescent="0.3">
      <c r="A26" s="3" t="s">
        <v>99</v>
      </c>
      <c r="B26" s="1">
        <v>1</v>
      </c>
    </row>
    <row r="27" spans="1:2" x14ac:dyDescent="0.3">
      <c r="A27" s="3" t="s">
        <v>39</v>
      </c>
      <c r="B27" s="1">
        <v>2</v>
      </c>
    </row>
    <row r="28" spans="1:2" x14ac:dyDescent="0.3">
      <c r="A28" s="3" t="s">
        <v>86</v>
      </c>
      <c r="B28" s="1">
        <v>1</v>
      </c>
    </row>
    <row r="29" spans="1:2" x14ac:dyDescent="0.3">
      <c r="A29" s="3" t="s">
        <v>78</v>
      </c>
      <c r="B29" s="1">
        <v>1</v>
      </c>
    </row>
    <row r="30" spans="1:2" x14ac:dyDescent="0.3">
      <c r="A30" s="3" t="s">
        <v>117</v>
      </c>
      <c r="B30" s="1">
        <v>1</v>
      </c>
    </row>
    <row r="31" spans="1:2" x14ac:dyDescent="0.3">
      <c r="A31" s="3" t="s">
        <v>70</v>
      </c>
      <c r="B31" s="1">
        <v>1</v>
      </c>
    </row>
    <row r="32" spans="1:2" x14ac:dyDescent="0.3">
      <c r="A32" s="3" t="s">
        <v>109</v>
      </c>
      <c r="B32" s="1">
        <v>1</v>
      </c>
    </row>
    <row r="33" spans="1:2" x14ac:dyDescent="0.3">
      <c r="A33" s="3" t="s">
        <v>90</v>
      </c>
      <c r="B33" s="1">
        <v>3</v>
      </c>
    </row>
    <row r="34" spans="1:2" x14ac:dyDescent="0.3">
      <c r="A34" s="3" t="s">
        <v>88</v>
      </c>
      <c r="B34" s="1">
        <v>3</v>
      </c>
    </row>
    <row r="35" spans="1:2" x14ac:dyDescent="0.3">
      <c r="A35" s="3" t="s">
        <v>56</v>
      </c>
      <c r="B35" s="1">
        <v>1</v>
      </c>
    </row>
    <row r="36" spans="1:2" x14ac:dyDescent="0.3">
      <c r="A36" s="3" t="s">
        <v>111</v>
      </c>
      <c r="B36" s="1">
        <v>1</v>
      </c>
    </row>
    <row r="37" spans="1:2" x14ac:dyDescent="0.3">
      <c r="A37" s="3" t="s">
        <v>68</v>
      </c>
      <c r="B37" s="1">
        <v>1</v>
      </c>
    </row>
    <row r="38" spans="1:2" x14ac:dyDescent="0.3">
      <c r="A38" s="3" t="s">
        <v>96</v>
      </c>
      <c r="B38" s="1">
        <v>1</v>
      </c>
    </row>
    <row r="39" spans="1:2" x14ac:dyDescent="0.3">
      <c r="A39" s="3" t="s">
        <v>75</v>
      </c>
      <c r="B39" s="1">
        <v>4</v>
      </c>
    </row>
    <row r="40" spans="1:2" x14ac:dyDescent="0.3">
      <c r="A40" s="3" t="s">
        <v>47</v>
      </c>
      <c r="B40" s="1">
        <v>1</v>
      </c>
    </row>
    <row r="41" spans="1:2" x14ac:dyDescent="0.3">
      <c r="A41" s="3" t="s">
        <v>80</v>
      </c>
      <c r="B41" s="1">
        <v>1</v>
      </c>
    </row>
    <row r="42" spans="1:2" x14ac:dyDescent="0.3">
      <c r="A42" s="3" t="s">
        <v>62</v>
      </c>
      <c r="B42" s="1">
        <v>2</v>
      </c>
    </row>
    <row r="43" spans="1:2" x14ac:dyDescent="0.3">
      <c r="A43" s="3" t="s">
        <v>41</v>
      </c>
      <c r="B43" s="1">
        <v>1</v>
      </c>
    </row>
    <row r="44" spans="1:2" x14ac:dyDescent="0.3">
      <c r="A44" s="3" t="s">
        <v>66</v>
      </c>
      <c r="B44" s="1">
        <v>1</v>
      </c>
    </row>
    <row r="45" spans="1:2" x14ac:dyDescent="0.3">
      <c r="A45" s="3" t="s">
        <v>98</v>
      </c>
      <c r="B45" s="1">
        <v>1</v>
      </c>
    </row>
    <row r="46" spans="1:2" x14ac:dyDescent="0.3">
      <c r="A46" s="3" t="s">
        <v>28</v>
      </c>
      <c r="B46" s="1">
        <v>3</v>
      </c>
    </row>
    <row r="47" spans="1:2" x14ac:dyDescent="0.3">
      <c r="A47" s="3" t="s">
        <v>34</v>
      </c>
      <c r="B47" s="1">
        <v>1</v>
      </c>
    </row>
    <row r="48" spans="1:2" x14ac:dyDescent="0.3">
      <c r="A48" s="3" t="s">
        <v>53</v>
      </c>
      <c r="B48" s="1">
        <v>2</v>
      </c>
    </row>
    <row r="49" spans="1:2" x14ac:dyDescent="0.3">
      <c r="A49" s="3" t="s">
        <v>126</v>
      </c>
      <c r="B49" s="1">
        <v>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16"/>
  <sheetViews>
    <sheetView workbookViewId="0">
      <selection activeCell="L52" sqref="L52"/>
    </sheetView>
  </sheetViews>
  <sheetFormatPr defaultRowHeight="14.4" x14ac:dyDescent="0.3"/>
  <cols>
    <col min="1" max="1" width="10.77734375" bestFit="1" customWidth="1"/>
    <col min="2" max="2" width="16.77734375" bestFit="1" customWidth="1"/>
  </cols>
  <sheetData>
    <row r="3" spans="1:5" x14ac:dyDescent="0.3">
      <c r="A3" s="2" t="s">
        <v>143</v>
      </c>
      <c r="B3" t="s">
        <v>129</v>
      </c>
    </row>
    <row r="4" spans="1:5" x14ac:dyDescent="0.3">
      <c r="A4" s="3" t="s">
        <v>131</v>
      </c>
      <c r="B4" s="1">
        <v>1</v>
      </c>
      <c r="D4" t="str">
        <f>A4</f>
        <v>2009</v>
      </c>
      <c r="E4">
        <f>GETPIVOTDATA("Score",$A$3,"Years",A4)</f>
        <v>1</v>
      </c>
    </row>
    <row r="5" spans="1:5" x14ac:dyDescent="0.3">
      <c r="A5" s="3" t="s">
        <v>132</v>
      </c>
      <c r="B5" s="1">
        <v>3</v>
      </c>
      <c r="D5" t="str">
        <f t="shared" ref="D5:D15" si="0">A5</f>
        <v>2010</v>
      </c>
      <c r="E5">
        <f t="shared" ref="E5:E15" si="1">GETPIVOTDATA("Score",$A$3,"Years",A5)</f>
        <v>3</v>
      </c>
    </row>
    <row r="6" spans="1:5" x14ac:dyDescent="0.3">
      <c r="A6" s="3" t="s">
        <v>133</v>
      </c>
      <c r="B6" s="1">
        <v>4</v>
      </c>
      <c r="D6" t="str">
        <f t="shared" si="0"/>
        <v>2011</v>
      </c>
      <c r="E6">
        <f t="shared" si="1"/>
        <v>4</v>
      </c>
    </row>
    <row r="7" spans="1:5" x14ac:dyDescent="0.3">
      <c r="A7" s="3" t="s">
        <v>134</v>
      </c>
      <c r="B7" s="1">
        <v>8</v>
      </c>
      <c r="D7" t="str">
        <f t="shared" si="0"/>
        <v>2012</v>
      </c>
      <c r="E7">
        <f t="shared" si="1"/>
        <v>8</v>
      </c>
    </row>
    <row r="8" spans="1:5" x14ac:dyDescent="0.3">
      <c r="A8" s="3" t="s">
        <v>135</v>
      </c>
      <c r="B8" s="1">
        <v>6</v>
      </c>
      <c r="D8" t="str">
        <f t="shared" si="0"/>
        <v>2013</v>
      </c>
      <c r="E8">
        <f t="shared" si="1"/>
        <v>6</v>
      </c>
    </row>
    <row r="9" spans="1:5" x14ac:dyDescent="0.3">
      <c r="A9" s="3" t="s">
        <v>136</v>
      </c>
      <c r="B9" s="1">
        <v>8</v>
      </c>
      <c r="D9" t="str">
        <f t="shared" si="0"/>
        <v>2014</v>
      </c>
      <c r="E9">
        <f t="shared" si="1"/>
        <v>8</v>
      </c>
    </row>
    <row r="10" spans="1:5" x14ac:dyDescent="0.3">
      <c r="A10" s="3" t="s">
        <v>137</v>
      </c>
      <c r="B10" s="1">
        <v>4</v>
      </c>
      <c r="D10" t="str">
        <f t="shared" si="0"/>
        <v>2015</v>
      </c>
      <c r="E10">
        <f t="shared" si="1"/>
        <v>4</v>
      </c>
    </row>
    <row r="11" spans="1:5" x14ac:dyDescent="0.3">
      <c r="A11" s="3" t="s">
        <v>138</v>
      </c>
      <c r="B11" s="1">
        <v>7</v>
      </c>
      <c r="D11" t="str">
        <f t="shared" si="0"/>
        <v>2016</v>
      </c>
      <c r="E11">
        <f t="shared" si="1"/>
        <v>7</v>
      </c>
    </row>
    <row r="12" spans="1:5" x14ac:dyDescent="0.3">
      <c r="A12" s="3" t="s">
        <v>139</v>
      </c>
      <c r="B12" s="1">
        <v>11</v>
      </c>
      <c r="D12" t="str">
        <f t="shared" si="0"/>
        <v>2017</v>
      </c>
      <c r="E12">
        <f t="shared" si="1"/>
        <v>11</v>
      </c>
    </row>
    <row r="13" spans="1:5" x14ac:dyDescent="0.3">
      <c r="A13" s="3" t="s">
        <v>140</v>
      </c>
      <c r="B13" s="1">
        <v>11</v>
      </c>
      <c r="D13" t="str">
        <f t="shared" si="0"/>
        <v>2018</v>
      </c>
      <c r="E13">
        <f t="shared" si="1"/>
        <v>11</v>
      </c>
    </row>
    <row r="14" spans="1:5" x14ac:dyDescent="0.3">
      <c r="A14" s="3" t="s">
        <v>141</v>
      </c>
      <c r="B14" s="1">
        <v>7</v>
      </c>
      <c r="D14" t="str">
        <f t="shared" si="0"/>
        <v>2019</v>
      </c>
      <c r="E14">
        <f t="shared" si="1"/>
        <v>7</v>
      </c>
    </row>
    <row r="15" spans="1:5" x14ac:dyDescent="0.3">
      <c r="A15" s="3" t="s">
        <v>142</v>
      </c>
      <c r="B15" s="1">
        <v>1</v>
      </c>
      <c r="D15" t="str">
        <f t="shared" si="0"/>
        <v>2022</v>
      </c>
      <c r="E15">
        <f t="shared" si="1"/>
        <v>1</v>
      </c>
    </row>
    <row r="16" spans="1:5" x14ac:dyDescent="0.3">
      <c r="A16" s="3" t="s">
        <v>126</v>
      </c>
      <c r="B16" s="1">
        <v>71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Q3:AE3"/>
  <sheetViews>
    <sheetView showGridLines="0" showRowColHeaders="0" topLeftCell="A23" zoomScale="68" zoomScaleNormal="68" workbookViewId="0">
      <selection activeCell="AT49" sqref="AT49"/>
    </sheetView>
  </sheetViews>
  <sheetFormatPr defaultRowHeight="14.4" x14ac:dyDescent="0.3"/>
  <sheetData>
    <row r="3" spans="17:31" ht="61.2" x14ac:dyDescent="1.1000000000000001">
      <c r="Q3" s="5"/>
      <c r="R3" s="6" t="s">
        <v>145</v>
      </c>
      <c r="S3" s="6"/>
      <c r="T3" s="6"/>
      <c r="U3" s="6"/>
      <c r="V3" s="6"/>
      <c r="W3" s="6"/>
      <c r="X3" s="6"/>
      <c r="Y3" s="6"/>
      <c r="Z3" s="7"/>
      <c r="AA3" s="7"/>
      <c r="AB3" s="7"/>
      <c r="AC3" s="7"/>
      <c r="AD3" s="7"/>
      <c r="AE3" s="7"/>
    </row>
  </sheetData>
  <pageMargins left="0.7" right="0.7" top="0.75" bottom="0.75" header="0.3" footer="0.3"/>
  <pageSetup scale="10" orientation="portrait" r:id="rId1"/>
  <drawing r:id="rId2"/>
  <picture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72"/>
  <sheetViews>
    <sheetView tabSelected="1" workbookViewId="0">
      <selection activeCell="O12" sqref="O12"/>
    </sheetView>
  </sheetViews>
  <sheetFormatPr defaultRowHeight="14.4" x14ac:dyDescent="0.3"/>
  <cols>
    <col min="2" max="2" width="13.5546875" customWidth="1"/>
    <col min="3" max="3" width="13.77734375" customWidth="1"/>
    <col min="4" max="4" width="14.109375" customWidth="1"/>
    <col min="6" max="6" width="18.33203125" customWidth="1"/>
    <col min="7" max="7" width="25.6640625" customWidth="1"/>
    <col min="8" max="8" width="16.33203125" customWidth="1"/>
    <col min="10" max="10" width="16.6640625" customWidth="1"/>
    <col min="13" max="13" width="18.109375" customWidth="1"/>
    <col min="14" max="14" width="12.6640625" customWidth="1"/>
  </cols>
  <sheetData>
    <row r="1" spans="1:14" x14ac:dyDescent="0.3">
      <c r="A1" t="s">
        <v>0</v>
      </c>
      <c r="B1" t="s">
        <v>1</v>
      </c>
      <c r="C1" t="s">
        <v>2</v>
      </c>
      <c r="D1" t="s">
        <v>3</v>
      </c>
      <c r="E1" t="s">
        <v>4</v>
      </c>
      <c r="F1" t="s">
        <v>5</v>
      </c>
      <c r="G1" t="s">
        <v>6</v>
      </c>
      <c r="H1" t="s">
        <v>146</v>
      </c>
      <c r="I1" t="s">
        <v>7</v>
      </c>
      <c r="J1" t="s">
        <v>8</v>
      </c>
      <c r="K1" t="s">
        <v>9</v>
      </c>
      <c r="L1" t="s">
        <v>10</v>
      </c>
      <c r="M1" t="s">
        <v>11</v>
      </c>
      <c r="N1" t="s">
        <v>12</v>
      </c>
    </row>
    <row r="2" spans="1:14" x14ac:dyDescent="0.3">
      <c r="A2">
        <v>116</v>
      </c>
      <c r="B2" t="s">
        <v>13</v>
      </c>
      <c r="C2" t="s">
        <v>14</v>
      </c>
      <c r="D2">
        <v>6</v>
      </c>
      <c r="E2">
        <v>2</v>
      </c>
      <c r="F2">
        <v>54.46</v>
      </c>
      <c r="G2" t="s">
        <v>15</v>
      </c>
      <c r="H2" t="s">
        <v>16</v>
      </c>
      <c r="I2" t="s">
        <v>17</v>
      </c>
      <c r="J2" s="1">
        <v>2012</v>
      </c>
      <c r="K2" t="s">
        <v>18</v>
      </c>
      <c r="L2" t="s">
        <v>19</v>
      </c>
      <c r="M2" t="s">
        <v>20</v>
      </c>
      <c r="N2" t="s">
        <v>20</v>
      </c>
    </row>
    <row r="3" spans="1:14" x14ac:dyDescent="0.3">
      <c r="A3">
        <v>103</v>
      </c>
      <c r="B3" t="s">
        <v>13</v>
      </c>
      <c r="C3" t="s">
        <v>21</v>
      </c>
      <c r="D3">
        <v>5</v>
      </c>
      <c r="E3">
        <v>2</v>
      </c>
      <c r="F3">
        <v>53.36</v>
      </c>
      <c r="G3" t="s">
        <v>22</v>
      </c>
      <c r="H3" t="s">
        <v>23</v>
      </c>
      <c r="I3" t="s">
        <v>24</v>
      </c>
      <c r="J3" s="1">
        <v>2012</v>
      </c>
      <c r="K3" t="s">
        <v>25</v>
      </c>
      <c r="L3" t="s">
        <v>19</v>
      </c>
      <c r="M3" t="s">
        <v>26</v>
      </c>
      <c r="N3" t="s">
        <v>20</v>
      </c>
    </row>
    <row r="4" spans="1:14" x14ac:dyDescent="0.3">
      <c r="A4">
        <v>103</v>
      </c>
      <c r="B4" t="s">
        <v>13</v>
      </c>
      <c r="C4" t="s">
        <v>27</v>
      </c>
      <c r="D4">
        <v>5</v>
      </c>
      <c r="E4">
        <v>2</v>
      </c>
      <c r="F4">
        <v>34.909999999999997</v>
      </c>
      <c r="G4" t="s">
        <v>28</v>
      </c>
      <c r="H4" t="s">
        <v>29</v>
      </c>
      <c r="I4" t="s">
        <v>24</v>
      </c>
      <c r="J4" s="1">
        <v>2012</v>
      </c>
      <c r="K4" t="s">
        <v>30</v>
      </c>
      <c r="L4" t="s">
        <v>19</v>
      </c>
      <c r="M4" t="s">
        <v>20</v>
      </c>
      <c r="N4" t="s">
        <v>20</v>
      </c>
    </row>
    <row r="5" spans="1:14" x14ac:dyDescent="0.3">
      <c r="A5">
        <v>107</v>
      </c>
      <c r="B5" t="s">
        <v>13</v>
      </c>
      <c r="C5" t="s">
        <v>14</v>
      </c>
      <c r="D5">
        <v>5</v>
      </c>
      <c r="E5">
        <v>2</v>
      </c>
      <c r="F5">
        <v>51.94</v>
      </c>
      <c r="G5" t="s">
        <v>31</v>
      </c>
      <c r="H5" t="s">
        <v>32</v>
      </c>
      <c r="I5" t="s">
        <v>24</v>
      </c>
      <c r="J5" s="1">
        <v>2013</v>
      </c>
      <c r="K5" t="s">
        <v>25</v>
      </c>
      <c r="L5" t="s">
        <v>19</v>
      </c>
      <c r="M5" t="s">
        <v>20</v>
      </c>
      <c r="N5" t="s">
        <v>20</v>
      </c>
    </row>
    <row r="6" spans="1:14" x14ac:dyDescent="0.3">
      <c r="A6">
        <v>119</v>
      </c>
      <c r="B6" t="s">
        <v>13</v>
      </c>
      <c r="C6" t="s">
        <v>33</v>
      </c>
      <c r="D6">
        <v>4</v>
      </c>
      <c r="E6">
        <v>1</v>
      </c>
      <c r="F6">
        <v>65.739999999999995</v>
      </c>
      <c r="G6" t="s">
        <v>34</v>
      </c>
      <c r="H6" t="s">
        <v>35</v>
      </c>
      <c r="I6" t="s">
        <v>17</v>
      </c>
      <c r="J6" s="1">
        <v>2013</v>
      </c>
      <c r="K6" t="s">
        <v>30</v>
      </c>
      <c r="L6" t="s">
        <v>19</v>
      </c>
      <c r="M6" t="s">
        <v>20</v>
      </c>
      <c r="N6" t="s">
        <v>20</v>
      </c>
    </row>
    <row r="7" spans="1:14" x14ac:dyDescent="0.3">
      <c r="A7">
        <v>105</v>
      </c>
      <c r="B7" t="s">
        <v>36</v>
      </c>
      <c r="C7" t="s">
        <v>21</v>
      </c>
      <c r="D7">
        <v>4</v>
      </c>
      <c r="E7">
        <v>4</v>
      </c>
      <c r="F7">
        <v>77.77</v>
      </c>
      <c r="G7" t="s">
        <v>37</v>
      </c>
      <c r="H7" t="s">
        <v>38</v>
      </c>
      <c r="I7" t="s">
        <v>17</v>
      </c>
      <c r="J7" s="1">
        <v>2014</v>
      </c>
      <c r="K7" t="s">
        <v>30</v>
      </c>
      <c r="L7" t="s">
        <v>19</v>
      </c>
      <c r="M7" t="s">
        <v>20</v>
      </c>
      <c r="N7" t="s">
        <v>20</v>
      </c>
    </row>
    <row r="8" spans="1:14" x14ac:dyDescent="0.3">
      <c r="A8">
        <v>115</v>
      </c>
      <c r="B8" t="s">
        <v>13</v>
      </c>
      <c r="C8" t="s">
        <v>14</v>
      </c>
      <c r="D8">
        <v>4</v>
      </c>
      <c r="E8">
        <v>2</v>
      </c>
      <c r="F8">
        <v>62.5</v>
      </c>
      <c r="G8" t="s">
        <v>15</v>
      </c>
      <c r="H8" t="s">
        <v>16</v>
      </c>
      <c r="I8" t="s">
        <v>17</v>
      </c>
      <c r="J8" s="1">
        <v>2014</v>
      </c>
      <c r="K8" t="s">
        <v>18</v>
      </c>
      <c r="L8" t="s">
        <v>19</v>
      </c>
      <c r="M8" t="s">
        <v>20</v>
      </c>
      <c r="N8" t="s">
        <v>26</v>
      </c>
    </row>
    <row r="9" spans="1:14" x14ac:dyDescent="0.3">
      <c r="A9">
        <v>141</v>
      </c>
      <c r="B9" t="s">
        <v>13</v>
      </c>
      <c r="C9" t="s">
        <v>14</v>
      </c>
      <c r="D9">
        <v>4</v>
      </c>
      <c r="E9">
        <v>4</v>
      </c>
      <c r="F9">
        <v>80.56</v>
      </c>
      <c r="G9" t="s">
        <v>15</v>
      </c>
      <c r="H9" t="s">
        <v>16</v>
      </c>
      <c r="I9" t="s">
        <v>17</v>
      </c>
      <c r="J9" s="1">
        <v>2014</v>
      </c>
      <c r="K9" t="s">
        <v>18</v>
      </c>
      <c r="L9" t="s">
        <v>19</v>
      </c>
      <c r="M9" t="s">
        <v>20</v>
      </c>
      <c r="N9" t="s">
        <v>26</v>
      </c>
    </row>
    <row r="10" spans="1:14" x14ac:dyDescent="0.3">
      <c r="A10">
        <v>169</v>
      </c>
      <c r="B10" t="s">
        <v>13</v>
      </c>
      <c r="C10" t="s">
        <v>14</v>
      </c>
      <c r="D10">
        <v>4</v>
      </c>
      <c r="E10">
        <v>2</v>
      </c>
      <c r="F10">
        <v>62.13</v>
      </c>
      <c r="G10" t="s">
        <v>39</v>
      </c>
      <c r="H10" t="s">
        <v>40</v>
      </c>
      <c r="I10" t="s">
        <v>17</v>
      </c>
      <c r="J10" s="1">
        <v>2014</v>
      </c>
      <c r="K10" t="s">
        <v>30</v>
      </c>
      <c r="L10" t="s">
        <v>19</v>
      </c>
      <c r="M10" t="s">
        <v>20</v>
      </c>
      <c r="N10" t="s">
        <v>20</v>
      </c>
    </row>
    <row r="11" spans="1:14" x14ac:dyDescent="0.3">
      <c r="A11">
        <v>147</v>
      </c>
      <c r="B11" t="s">
        <v>13</v>
      </c>
      <c r="C11" t="s">
        <v>14</v>
      </c>
      <c r="D11">
        <v>4</v>
      </c>
      <c r="E11">
        <v>2</v>
      </c>
      <c r="F11">
        <v>63.91</v>
      </c>
      <c r="G11" t="s">
        <v>41</v>
      </c>
      <c r="H11" t="s">
        <v>42</v>
      </c>
      <c r="I11" t="s">
        <v>17</v>
      </c>
      <c r="J11" s="1">
        <v>2015</v>
      </c>
      <c r="K11" t="s">
        <v>30</v>
      </c>
      <c r="L11" t="s">
        <v>19</v>
      </c>
      <c r="M11" t="s">
        <v>20</v>
      </c>
      <c r="N11" t="s">
        <v>26</v>
      </c>
    </row>
    <row r="12" spans="1:14" x14ac:dyDescent="0.3">
      <c r="A12">
        <v>103</v>
      </c>
      <c r="B12" t="s">
        <v>13</v>
      </c>
      <c r="C12" t="s">
        <v>43</v>
      </c>
      <c r="D12">
        <v>4</v>
      </c>
      <c r="E12">
        <v>2</v>
      </c>
      <c r="F12">
        <v>5.92</v>
      </c>
      <c r="G12" t="s">
        <v>44</v>
      </c>
      <c r="H12" t="s">
        <v>45</v>
      </c>
      <c r="I12" t="s">
        <v>17</v>
      </c>
      <c r="J12" s="1">
        <v>2015</v>
      </c>
      <c r="K12" t="s">
        <v>18</v>
      </c>
      <c r="L12" t="s">
        <v>19</v>
      </c>
      <c r="M12" t="s">
        <v>20</v>
      </c>
      <c r="N12" t="s">
        <v>26</v>
      </c>
    </row>
    <row r="13" spans="1:14" x14ac:dyDescent="0.3">
      <c r="A13">
        <v>200</v>
      </c>
      <c r="B13" t="s">
        <v>13</v>
      </c>
      <c r="C13" t="s">
        <v>46</v>
      </c>
      <c r="D13">
        <v>4</v>
      </c>
      <c r="E13">
        <v>1</v>
      </c>
      <c r="F13">
        <v>70.67</v>
      </c>
      <c r="G13" t="s">
        <v>47</v>
      </c>
      <c r="H13" t="s">
        <v>48</v>
      </c>
      <c r="I13" t="s">
        <v>17</v>
      </c>
      <c r="J13" s="1">
        <v>2016</v>
      </c>
      <c r="K13" t="s">
        <v>25</v>
      </c>
      <c r="L13" t="s">
        <v>19</v>
      </c>
      <c r="M13" t="s">
        <v>20</v>
      </c>
      <c r="N13" t="s">
        <v>26</v>
      </c>
    </row>
    <row r="14" spans="1:14" x14ac:dyDescent="0.3">
      <c r="A14">
        <v>211</v>
      </c>
      <c r="B14" t="s">
        <v>13</v>
      </c>
      <c r="C14" t="s">
        <v>21</v>
      </c>
      <c r="D14">
        <v>4</v>
      </c>
      <c r="E14">
        <v>1</v>
      </c>
      <c r="F14">
        <v>57.65</v>
      </c>
      <c r="G14" t="s">
        <v>49</v>
      </c>
      <c r="H14" t="s">
        <v>50</v>
      </c>
      <c r="I14" t="s">
        <v>24</v>
      </c>
      <c r="J14" s="1">
        <v>2016</v>
      </c>
      <c r="K14" t="s">
        <v>25</v>
      </c>
      <c r="L14" t="s">
        <v>19</v>
      </c>
      <c r="M14" t="s">
        <v>20</v>
      </c>
      <c r="N14" t="s">
        <v>26</v>
      </c>
    </row>
    <row r="15" spans="1:14" x14ac:dyDescent="0.3">
      <c r="A15">
        <v>167</v>
      </c>
      <c r="B15" t="s">
        <v>13</v>
      </c>
      <c r="C15" t="s">
        <v>27</v>
      </c>
      <c r="D15">
        <v>4</v>
      </c>
      <c r="E15">
        <v>1</v>
      </c>
      <c r="F15">
        <v>62.54</v>
      </c>
      <c r="G15" t="s">
        <v>51</v>
      </c>
      <c r="H15" t="s">
        <v>52</v>
      </c>
      <c r="I15" t="s">
        <v>24</v>
      </c>
      <c r="J15" s="1">
        <v>2016</v>
      </c>
      <c r="K15" t="s">
        <v>25</v>
      </c>
      <c r="L15" t="s">
        <v>19</v>
      </c>
      <c r="M15" t="s">
        <v>26</v>
      </c>
      <c r="N15" t="s">
        <v>26</v>
      </c>
    </row>
    <row r="16" spans="1:14" x14ac:dyDescent="0.3">
      <c r="A16">
        <v>235</v>
      </c>
      <c r="B16" t="s">
        <v>13</v>
      </c>
      <c r="C16" t="s">
        <v>27</v>
      </c>
      <c r="D16">
        <v>4</v>
      </c>
      <c r="E16">
        <v>2</v>
      </c>
      <c r="F16">
        <v>69.11</v>
      </c>
      <c r="G16" t="s">
        <v>53</v>
      </c>
      <c r="H16" t="s">
        <v>54</v>
      </c>
      <c r="I16" t="s">
        <v>24</v>
      </c>
      <c r="J16" s="1">
        <v>2016</v>
      </c>
      <c r="K16" t="s">
        <v>25</v>
      </c>
      <c r="L16" t="s">
        <v>19</v>
      </c>
      <c r="M16" t="s">
        <v>26</v>
      </c>
      <c r="N16" t="s">
        <v>26</v>
      </c>
    </row>
    <row r="17" spans="1:14" x14ac:dyDescent="0.3">
      <c r="A17">
        <v>204</v>
      </c>
      <c r="B17" t="s">
        <v>13</v>
      </c>
      <c r="C17" t="s">
        <v>55</v>
      </c>
      <c r="D17">
        <v>4</v>
      </c>
      <c r="E17">
        <v>1</v>
      </c>
      <c r="F17">
        <v>82.92</v>
      </c>
      <c r="G17" t="s">
        <v>56</v>
      </c>
      <c r="H17" t="s">
        <v>57</v>
      </c>
      <c r="I17" t="s">
        <v>24</v>
      </c>
      <c r="J17" s="1">
        <v>2017</v>
      </c>
      <c r="K17" t="s">
        <v>25</v>
      </c>
      <c r="L17" t="s">
        <v>19</v>
      </c>
      <c r="M17" t="s">
        <v>26</v>
      </c>
      <c r="N17" t="s">
        <v>26</v>
      </c>
    </row>
    <row r="18" spans="1:14" x14ac:dyDescent="0.3">
      <c r="A18">
        <v>103</v>
      </c>
      <c r="B18" t="s">
        <v>36</v>
      </c>
      <c r="C18" t="s">
        <v>43</v>
      </c>
      <c r="D18">
        <v>4</v>
      </c>
      <c r="E18">
        <v>3</v>
      </c>
      <c r="F18">
        <v>99.03</v>
      </c>
      <c r="G18" t="s">
        <v>44</v>
      </c>
      <c r="H18" t="s">
        <v>45</v>
      </c>
      <c r="I18" t="s">
        <v>17</v>
      </c>
      <c r="J18" s="1">
        <v>2017</v>
      </c>
      <c r="K18" t="s">
        <v>25</v>
      </c>
      <c r="L18" t="s">
        <v>19</v>
      </c>
      <c r="M18" t="s">
        <v>20</v>
      </c>
      <c r="N18" t="s">
        <v>26</v>
      </c>
    </row>
    <row r="19" spans="1:14" x14ac:dyDescent="0.3">
      <c r="A19">
        <v>104</v>
      </c>
      <c r="B19" t="s">
        <v>36</v>
      </c>
      <c r="C19" t="s">
        <v>43</v>
      </c>
      <c r="D19">
        <v>4</v>
      </c>
      <c r="E19">
        <v>3</v>
      </c>
      <c r="F19">
        <v>87.39</v>
      </c>
      <c r="G19" t="s">
        <v>58</v>
      </c>
      <c r="H19" t="s">
        <v>59</v>
      </c>
      <c r="I19" t="s">
        <v>24</v>
      </c>
      <c r="J19" s="1">
        <v>2017</v>
      </c>
      <c r="K19" t="s">
        <v>30</v>
      </c>
      <c r="L19" t="s">
        <v>19</v>
      </c>
      <c r="M19" t="s">
        <v>20</v>
      </c>
      <c r="N19" t="s">
        <v>26</v>
      </c>
    </row>
    <row r="20" spans="1:14" x14ac:dyDescent="0.3">
      <c r="A20">
        <v>213</v>
      </c>
      <c r="B20" t="s">
        <v>13</v>
      </c>
      <c r="C20" t="s">
        <v>43</v>
      </c>
      <c r="D20">
        <v>4</v>
      </c>
      <c r="E20">
        <v>2</v>
      </c>
      <c r="F20">
        <v>79.77</v>
      </c>
      <c r="G20" t="s">
        <v>28</v>
      </c>
      <c r="H20" t="s">
        <v>29</v>
      </c>
      <c r="I20" t="s">
        <v>24</v>
      </c>
      <c r="J20" s="1">
        <v>2017</v>
      </c>
      <c r="K20" t="s">
        <v>25</v>
      </c>
      <c r="L20" t="s">
        <v>19</v>
      </c>
      <c r="M20" t="s">
        <v>26</v>
      </c>
      <c r="N20" t="s">
        <v>26</v>
      </c>
    </row>
    <row r="21" spans="1:14" x14ac:dyDescent="0.3">
      <c r="A21">
        <v>243</v>
      </c>
      <c r="B21" t="s">
        <v>13</v>
      </c>
      <c r="C21" t="s">
        <v>43</v>
      </c>
      <c r="D21">
        <v>4</v>
      </c>
      <c r="E21">
        <v>1</v>
      </c>
      <c r="F21">
        <v>84.66</v>
      </c>
      <c r="G21" t="s">
        <v>60</v>
      </c>
      <c r="H21" t="s">
        <v>61</v>
      </c>
      <c r="I21" t="s">
        <v>24</v>
      </c>
      <c r="J21" s="1">
        <v>2017</v>
      </c>
      <c r="K21" t="s">
        <v>30</v>
      </c>
      <c r="L21" t="s">
        <v>19</v>
      </c>
      <c r="M21" t="s">
        <v>26</v>
      </c>
      <c r="N21" t="s">
        <v>26</v>
      </c>
    </row>
    <row r="22" spans="1:14" x14ac:dyDescent="0.3">
      <c r="A22">
        <v>153</v>
      </c>
      <c r="B22" t="s">
        <v>13</v>
      </c>
      <c r="C22" t="s">
        <v>33</v>
      </c>
      <c r="D22">
        <v>4</v>
      </c>
      <c r="E22">
        <v>2</v>
      </c>
      <c r="F22">
        <v>70.5</v>
      </c>
      <c r="G22" t="s">
        <v>62</v>
      </c>
      <c r="H22" t="s">
        <v>63</v>
      </c>
      <c r="I22" t="s">
        <v>17</v>
      </c>
      <c r="J22" s="1">
        <v>2018</v>
      </c>
      <c r="K22" t="s">
        <v>18</v>
      </c>
      <c r="L22" t="s">
        <v>19</v>
      </c>
      <c r="M22" t="s">
        <v>20</v>
      </c>
      <c r="N22" t="s">
        <v>26</v>
      </c>
    </row>
    <row r="23" spans="1:14" x14ac:dyDescent="0.3">
      <c r="A23">
        <v>149</v>
      </c>
      <c r="B23" t="s">
        <v>13</v>
      </c>
      <c r="C23" t="s">
        <v>27</v>
      </c>
      <c r="D23">
        <v>4</v>
      </c>
      <c r="E23">
        <v>2</v>
      </c>
      <c r="F23">
        <v>66.22</v>
      </c>
      <c r="G23" t="s">
        <v>64</v>
      </c>
      <c r="H23" t="s">
        <v>65</v>
      </c>
      <c r="I23" t="s">
        <v>17</v>
      </c>
      <c r="J23" s="1">
        <v>2018</v>
      </c>
      <c r="K23" t="s">
        <v>18</v>
      </c>
      <c r="L23" t="s">
        <v>19</v>
      </c>
      <c r="M23" t="s">
        <v>20</v>
      </c>
      <c r="N23" t="s">
        <v>26</v>
      </c>
    </row>
    <row r="24" spans="1:14" x14ac:dyDescent="0.3">
      <c r="A24">
        <v>103</v>
      </c>
      <c r="B24" t="s">
        <v>13</v>
      </c>
      <c r="C24" t="s">
        <v>27</v>
      </c>
      <c r="D24">
        <v>4</v>
      </c>
      <c r="E24">
        <v>3</v>
      </c>
      <c r="F24">
        <v>52.28</v>
      </c>
      <c r="G24" t="s">
        <v>66</v>
      </c>
      <c r="H24" t="s">
        <v>67</v>
      </c>
      <c r="I24" t="s">
        <v>17</v>
      </c>
      <c r="J24" s="1">
        <v>2018</v>
      </c>
      <c r="K24" t="s">
        <v>25</v>
      </c>
      <c r="L24" t="s">
        <v>19</v>
      </c>
      <c r="M24" t="s">
        <v>26</v>
      </c>
      <c r="N24" t="s">
        <v>26</v>
      </c>
    </row>
    <row r="25" spans="1:14" x14ac:dyDescent="0.3">
      <c r="A25">
        <v>139</v>
      </c>
      <c r="B25" t="s">
        <v>13</v>
      </c>
      <c r="C25" t="s">
        <v>46</v>
      </c>
      <c r="D25">
        <v>4</v>
      </c>
      <c r="E25">
        <v>1</v>
      </c>
      <c r="F25">
        <v>60.43</v>
      </c>
      <c r="G25" t="s">
        <v>68</v>
      </c>
      <c r="H25" t="s">
        <v>69</v>
      </c>
      <c r="I25" t="s">
        <v>24</v>
      </c>
      <c r="J25" s="1">
        <v>2018</v>
      </c>
      <c r="K25" t="s">
        <v>25</v>
      </c>
      <c r="L25" t="s">
        <v>19</v>
      </c>
      <c r="M25" t="s">
        <v>20</v>
      </c>
      <c r="N25" t="s">
        <v>26</v>
      </c>
    </row>
    <row r="26" spans="1:14" x14ac:dyDescent="0.3">
      <c r="A26">
        <v>123</v>
      </c>
      <c r="B26" t="s">
        <v>13</v>
      </c>
      <c r="C26" t="s">
        <v>14</v>
      </c>
      <c r="D26">
        <v>4</v>
      </c>
      <c r="E26">
        <v>2</v>
      </c>
      <c r="F26">
        <v>47.85</v>
      </c>
      <c r="G26" t="s">
        <v>70</v>
      </c>
      <c r="H26" t="s">
        <v>71</v>
      </c>
      <c r="I26" t="s">
        <v>17</v>
      </c>
      <c r="J26" s="1">
        <v>2018</v>
      </c>
      <c r="K26" t="s">
        <v>18</v>
      </c>
      <c r="L26" t="s">
        <v>19</v>
      </c>
      <c r="M26" t="s">
        <v>20</v>
      </c>
      <c r="N26" t="s">
        <v>26</v>
      </c>
    </row>
    <row r="27" spans="1:14" x14ac:dyDescent="0.3">
      <c r="A27">
        <v>254</v>
      </c>
      <c r="B27" t="s">
        <v>36</v>
      </c>
      <c r="C27" t="s">
        <v>33</v>
      </c>
      <c r="D27">
        <v>4</v>
      </c>
      <c r="E27">
        <v>1</v>
      </c>
      <c r="F27">
        <v>75.59</v>
      </c>
      <c r="G27" t="s">
        <v>72</v>
      </c>
      <c r="H27" t="s">
        <v>73</v>
      </c>
      <c r="I27" t="s">
        <v>24</v>
      </c>
      <c r="J27" s="1">
        <v>2019</v>
      </c>
      <c r="K27" t="s">
        <v>25</v>
      </c>
      <c r="L27" t="s">
        <v>19</v>
      </c>
      <c r="M27" t="s">
        <v>26</v>
      </c>
      <c r="N27" t="s">
        <v>26</v>
      </c>
    </row>
    <row r="28" spans="1:14" x14ac:dyDescent="0.3">
      <c r="A28">
        <v>136</v>
      </c>
      <c r="B28" t="s">
        <v>13</v>
      </c>
      <c r="C28" t="s">
        <v>55</v>
      </c>
      <c r="D28">
        <v>4</v>
      </c>
      <c r="E28">
        <v>2</v>
      </c>
      <c r="F28">
        <v>70.099999999999994</v>
      </c>
      <c r="G28" t="s">
        <v>58</v>
      </c>
      <c r="H28" t="s">
        <v>59</v>
      </c>
      <c r="I28" t="s">
        <v>24</v>
      </c>
      <c r="J28" s="1">
        <v>2019</v>
      </c>
      <c r="K28" t="s">
        <v>25</v>
      </c>
      <c r="L28" t="s">
        <v>19</v>
      </c>
      <c r="M28" t="s">
        <v>20</v>
      </c>
      <c r="N28" t="s">
        <v>26</v>
      </c>
    </row>
    <row r="29" spans="1:14" x14ac:dyDescent="0.3">
      <c r="A29">
        <v>107</v>
      </c>
      <c r="B29" t="s">
        <v>13</v>
      </c>
      <c r="C29" t="s">
        <v>43</v>
      </c>
      <c r="D29">
        <v>4</v>
      </c>
      <c r="E29">
        <v>2</v>
      </c>
      <c r="F29">
        <v>93.85</v>
      </c>
      <c r="G29" t="s">
        <v>58</v>
      </c>
      <c r="H29" t="s">
        <v>59</v>
      </c>
      <c r="I29" t="s">
        <v>24</v>
      </c>
      <c r="J29" s="1">
        <v>2009</v>
      </c>
      <c r="K29" t="s">
        <v>25</v>
      </c>
      <c r="L29" t="s">
        <v>74</v>
      </c>
      <c r="M29" t="s">
        <v>20</v>
      </c>
      <c r="N29" t="s">
        <v>20</v>
      </c>
    </row>
    <row r="30" spans="1:14" x14ac:dyDescent="0.3">
      <c r="A30">
        <v>102</v>
      </c>
      <c r="B30" t="s">
        <v>36</v>
      </c>
      <c r="C30" t="s">
        <v>55</v>
      </c>
      <c r="D30">
        <v>3</v>
      </c>
      <c r="E30">
        <v>2</v>
      </c>
      <c r="F30">
        <v>107.37</v>
      </c>
      <c r="G30" t="s">
        <v>75</v>
      </c>
      <c r="H30" t="s">
        <v>76</v>
      </c>
      <c r="I30" t="s">
        <v>17</v>
      </c>
      <c r="J30" s="1">
        <v>2010</v>
      </c>
      <c r="K30" t="s">
        <v>25</v>
      </c>
      <c r="L30" t="s">
        <v>74</v>
      </c>
      <c r="M30" t="s">
        <v>26</v>
      </c>
      <c r="N30" t="s">
        <v>20</v>
      </c>
    </row>
    <row r="31" spans="1:14" x14ac:dyDescent="0.3">
      <c r="A31">
        <v>118</v>
      </c>
      <c r="B31" t="s">
        <v>13</v>
      </c>
      <c r="C31" t="s">
        <v>14</v>
      </c>
      <c r="D31">
        <v>3</v>
      </c>
      <c r="E31">
        <v>2</v>
      </c>
      <c r="F31">
        <v>97.52</v>
      </c>
      <c r="G31" t="s">
        <v>77</v>
      </c>
      <c r="H31" t="s">
        <v>52</v>
      </c>
      <c r="I31" t="s">
        <v>24</v>
      </c>
      <c r="J31" s="1">
        <v>2010</v>
      </c>
      <c r="K31" t="s">
        <v>25</v>
      </c>
      <c r="L31" t="s">
        <v>74</v>
      </c>
      <c r="M31" t="s">
        <v>26</v>
      </c>
      <c r="N31" t="s">
        <v>20</v>
      </c>
    </row>
    <row r="32" spans="1:14" x14ac:dyDescent="0.3">
      <c r="A32">
        <v>105</v>
      </c>
      <c r="B32" t="s">
        <v>13</v>
      </c>
      <c r="C32" t="s">
        <v>21</v>
      </c>
      <c r="D32">
        <v>3</v>
      </c>
      <c r="E32">
        <v>1</v>
      </c>
      <c r="F32">
        <v>100.96</v>
      </c>
      <c r="G32" t="s">
        <v>78</v>
      </c>
      <c r="H32" t="s">
        <v>79</v>
      </c>
      <c r="I32" t="s">
        <v>24</v>
      </c>
      <c r="J32" s="1">
        <v>2010</v>
      </c>
      <c r="K32" t="s">
        <v>25</v>
      </c>
      <c r="L32" t="s">
        <v>74</v>
      </c>
      <c r="M32" t="s">
        <v>26</v>
      </c>
      <c r="N32" t="s">
        <v>20</v>
      </c>
    </row>
    <row r="33" spans="1:14" x14ac:dyDescent="0.3">
      <c r="A33">
        <v>100</v>
      </c>
      <c r="B33" t="s">
        <v>36</v>
      </c>
      <c r="C33" t="s">
        <v>55</v>
      </c>
      <c r="D33">
        <v>4</v>
      </c>
      <c r="E33">
        <v>1</v>
      </c>
      <c r="F33">
        <v>120.48</v>
      </c>
      <c r="G33" t="s">
        <v>75</v>
      </c>
      <c r="H33" t="s">
        <v>76</v>
      </c>
      <c r="I33" t="s">
        <v>17</v>
      </c>
      <c r="J33" s="1">
        <v>2011</v>
      </c>
      <c r="K33" t="s">
        <v>25</v>
      </c>
      <c r="L33" t="s">
        <v>74</v>
      </c>
      <c r="M33" t="s">
        <v>20</v>
      </c>
      <c r="N33" t="s">
        <v>20</v>
      </c>
    </row>
    <row r="34" spans="1:14" x14ac:dyDescent="0.3">
      <c r="A34">
        <v>107</v>
      </c>
      <c r="B34" t="s">
        <v>13</v>
      </c>
      <c r="C34" t="s">
        <v>27</v>
      </c>
      <c r="D34">
        <v>4</v>
      </c>
      <c r="E34">
        <v>1</v>
      </c>
      <c r="F34">
        <v>115.05</v>
      </c>
      <c r="G34" t="s">
        <v>80</v>
      </c>
      <c r="H34" t="s">
        <v>81</v>
      </c>
      <c r="I34" t="s">
        <v>17</v>
      </c>
      <c r="J34" s="1">
        <v>2011</v>
      </c>
      <c r="K34" t="s">
        <v>82</v>
      </c>
      <c r="L34" t="s">
        <v>74</v>
      </c>
      <c r="M34" t="s">
        <v>20</v>
      </c>
      <c r="N34" t="s">
        <v>20</v>
      </c>
    </row>
    <row r="35" spans="1:14" x14ac:dyDescent="0.3">
      <c r="A35">
        <v>112</v>
      </c>
      <c r="B35" t="s">
        <v>36</v>
      </c>
      <c r="C35" t="s">
        <v>27</v>
      </c>
      <c r="D35">
        <v>4</v>
      </c>
      <c r="E35">
        <v>2</v>
      </c>
      <c r="F35">
        <v>114.28</v>
      </c>
      <c r="G35" t="s">
        <v>60</v>
      </c>
      <c r="H35" t="s">
        <v>61</v>
      </c>
      <c r="I35" t="s">
        <v>24</v>
      </c>
      <c r="J35" s="1">
        <v>2011</v>
      </c>
      <c r="K35" t="s">
        <v>25</v>
      </c>
      <c r="L35" t="s">
        <v>74</v>
      </c>
      <c r="M35" t="s">
        <v>26</v>
      </c>
      <c r="N35" t="s">
        <v>20</v>
      </c>
    </row>
    <row r="36" spans="1:14" x14ac:dyDescent="0.3">
      <c r="A36">
        <v>117</v>
      </c>
      <c r="B36" t="s">
        <v>13</v>
      </c>
      <c r="C36" t="s">
        <v>46</v>
      </c>
      <c r="D36">
        <v>4</v>
      </c>
      <c r="E36">
        <v>2</v>
      </c>
      <c r="F36">
        <v>95.12</v>
      </c>
      <c r="G36" t="s">
        <v>77</v>
      </c>
      <c r="H36" t="s">
        <v>52</v>
      </c>
      <c r="I36" t="s">
        <v>24</v>
      </c>
      <c r="J36" s="1">
        <v>2011</v>
      </c>
      <c r="K36" t="s">
        <v>25</v>
      </c>
      <c r="L36" t="s">
        <v>74</v>
      </c>
      <c r="M36" t="s">
        <v>26</v>
      </c>
      <c r="N36" t="s">
        <v>20</v>
      </c>
    </row>
    <row r="37" spans="1:14" x14ac:dyDescent="0.3">
      <c r="A37">
        <v>133</v>
      </c>
      <c r="B37" t="s">
        <v>36</v>
      </c>
      <c r="C37" t="s">
        <v>43</v>
      </c>
      <c r="D37">
        <v>4</v>
      </c>
      <c r="E37">
        <v>2</v>
      </c>
      <c r="F37">
        <v>154.65</v>
      </c>
      <c r="G37" t="s">
        <v>83</v>
      </c>
      <c r="H37" t="s">
        <v>84</v>
      </c>
      <c r="I37" t="s">
        <v>17</v>
      </c>
      <c r="J37" s="1">
        <v>2012</v>
      </c>
      <c r="K37" t="s">
        <v>25</v>
      </c>
      <c r="L37" t="s">
        <v>74</v>
      </c>
      <c r="M37" t="s">
        <v>26</v>
      </c>
      <c r="N37" t="s">
        <v>20</v>
      </c>
    </row>
    <row r="38" spans="1:14" x14ac:dyDescent="0.3">
      <c r="A38">
        <v>108</v>
      </c>
      <c r="B38" t="s">
        <v>13</v>
      </c>
      <c r="C38" t="s">
        <v>43</v>
      </c>
      <c r="D38">
        <v>3</v>
      </c>
      <c r="E38">
        <v>1</v>
      </c>
      <c r="F38">
        <v>90</v>
      </c>
      <c r="G38" t="s">
        <v>75</v>
      </c>
      <c r="H38" t="s">
        <v>76</v>
      </c>
      <c r="I38" t="s">
        <v>17</v>
      </c>
      <c r="J38" s="1">
        <v>2012</v>
      </c>
      <c r="K38" t="s">
        <v>25</v>
      </c>
      <c r="L38" t="s">
        <v>74</v>
      </c>
      <c r="M38" t="s">
        <v>26</v>
      </c>
      <c r="N38" t="s">
        <v>20</v>
      </c>
    </row>
    <row r="39" spans="1:14" x14ac:dyDescent="0.3">
      <c r="A39">
        <v>183</v>
      </c>
      <c r="B39" t="s">
        <v>13</v>
      </c>
      <c r="C39" t="s">
        <v>85</v>
      </c>
      <c r="D39">
        <v>3</v>
      </c>
      <c r="E39">
        <v>2</v>
      </c>
      <c r="F39">
        <v>123.64</v>
      </c>
      <c r="G39" t="s">
        <v>75</v>
      </c>
      <c r="H39" t="s">
        <v>76</v>
      </c>
      <c r="I39" t="s">
        <v>17</v>
      </c>
      <c r="J39" s="1">
        <v>2012</v>
      </c>
      <c r="K39" t="s">
        <v>25</v>
      </c>
      <c r="L39" t="s">
        <v>74</v>
      </c>
      <c r="M39" t="s">
        <v>26</v>
      </c>
      <c r="N39" t="s">
        <v>20</v>
      </c>
    </row>
    <row r="40" spans="1:14" x14ac:dyDescent="0.3">
      <c r="A40">
        <v>106</v>
      </c>
      <c r="B40" t="s">
        <v>13</v>
      </c>
      <c r="C40" t="s">
        <v>43</v>
      </c>
      <c r="D40">
        <v>3</v>
      </c>
      <c r="E40">
        <v>1</v>
      </c>
      <c r="F40">
        <v>93.8</v>
      </c>
      <c r="G40" t="s">
        <v>86</v>
      </c>
      <c r="H40" t="s">
        <v>87</v>
      </c>
      <c r="I40" t="s">
        <v>17</v>
      </c>
      <c r="J40" s="1">
        <v>2012</v>
      </c>
      <c r="K40" t="s">
        <v>25</v>
      </c>
      <c r="L40" t="s">
        <v>74</v>
      </c>
      <c r="M40" t="s">
        <v>26</v>
      </c>
      <c r="N40" t="s">
        <v>20</v>
      </c>
    </row>
    <row r="41" spans="1:14" x14ac:dyDescent="0.3">
      <c r="A41">
        <v>128</v>
      </c>
      <c r="B41" t="s">
        <v>36</v>
      </c>
      <c r="C41" t="s">
        <v>43</v>
      </c>
      <c r="D41">
        <v>3</v>
      </c>
      <c r="E41">
        <v>2</v>
      </c>
      <c r="F41">
        <v>107.56</v>
      </c>
      <c r="G41" t="s">
        <v>88</v>
      </c>
      <c r="H41" t="s">
        <v>89</v>
      </c>
      <c r="I41" t="s">
        <v>17</v>
      </c>
      <c r="J41" s="1">
        <v>2012</v>
      </c>
      <c r="K41" t="s">
        <v>25</v>
      </c>
      <c r="L41" t="s">
        <v>74</v>
      </c>
      <c r="M41" t="s">
        <v>26</v>
      </c>
      <c r="N41" t="s">
        <v>20</v>
      </c>
    </row>
    <row r="42" spans="1:14" x14ac:dyDescent="0.3">
      <c r="A42">
        <v>102</v>
      </c>
      <c r="B42" t="s">
        <v>13</v>
      </c>
      <c r="C42" t="s">
        <v>46</v>
      </c>
      <c r="D42">
        <v>3</v>
      </c>
      <c r="E42">
        <v>1</v>
      </c>
      <c r="F42">
        <v>122.89</v>
      </c>
      <c r="G42" t="s">
        <v>90</v>
      </c>
      <c r="H42" t="s">
        <v>91</v>
      </c>
      <c r="I42" t="s">
        <v>17</v>
      </c>
      <c r="J42" s="1">
        <v>2013</v>
      </c>
      <c r="K42" t="s">
        <v>92</v>
      </c>
      <c r="L42" t="s">
        <v>74</v>
      </c>
      <c r="M42" t="s">
        <v>26</v>
      </c>
      <c r="N42" t="s">
        <v>26</v>
      </c>
    </row>
    <row r="43" spans="1:14" x14ac:dyDescent="0.3">
      <c r="A43">
        <v>115</v>
      </c>
      <c r="B43" t="s">
        <v>13</v>
      </c>
      <c r="C43" t="s">
        <v>93</v>
      </c>
      <c r="D43">
        <v>3</v>
      </c>
      <c r="E43">
        <v>2</v>
      </c>
      <c r="F43">
        <v>106.48</v>
      </c>
      <c r="G43" t="s">
        <v>94</v>
      </c>
      <c r="H43" t="s">
        <v>95</v>
      </c>
      <c r="I43" t="s">
        <v>17</v>
      </c>
      <c r="J43" s="1">
        <v>2013</v>
      </c>
      <c r="K43" t="s">
        <v>25</v>
      </c>
      <c r="L43" t="s">
        <v>74</v>
      </c>
      <c r="M43" t="s">
        <v>26</v>
      </c>
      <c r="N43" t="s">
        <v>26</v>
      </c>
    </row>
    <row r="44" spans="1:14" x14ac:dyDescent="0.3">
      <c r="A44">
        <v>100</v>
      </c>
      <c r="B44" t="s">
        <v>36</v>
      </c>
      <c r="C44" t="s">
        <v>14</v>
      </c>
      <c r="D44">
        <v>3</v>
      </c>
      <c r="E44">
        <v>2</v>
      </c>
      <c r="F44">
        <v>192.3</v>
      </c>
      <c r="G44" t="s">
        <v>96</v>
      </c>
      <c r="H44" t="s">
        <v>97</v>
      </c>
      <c r="I44" t="s">
        <v>24</v>
      </c>
      <c r="J44" s="1">
        <v>2013</v>
      </c>
      <c r="K44" t="s">
        <v>25</v>
      </c>
      <c r="L44" t="s">
        <v>74</v>
      </c>
      <c r="M44" t="s">
        <v>20</v>
      </c>
      <c r="N44" t="s">
        <v>20</v>
      </c>
    </row>
    <row r="45" spans="1:14" x14ac:dyDescent="0.3">
      <c r="A45">
        <v>115</v>
      </c>
      <c r="B45" t="s">
        <v>36</v>
      </c>
      <c r="C45" t="s">
        <v>14</v>
      </c>
      <c r="D45">
        <v>3</v>
      </c>
      <c r="E45">
        <v>2</v>
      </c>
      <c r="F45">
        <v>174.24</v>
      </c>
      <c r="G45" t="s">
        <v>98</v>
      </c>
      <c r="H45" t="s">
        <v>29</v>
      </c>
      <c r="I45" t="s">
        <v>24</v>
      </c>
      <c r="J45" s="1">
        <v>2013</v>
      </c>
      <c r="K45" t="s">
        <v>25</v>
      </c>
      <c r="L45" t="s">
        <v>74</v>
      </c>
      <c r="M45" t="s">
        <v>26</v>
      </c>
      <c r="N45" t="s">
        <v>20</v>
      </c>
    </row>
    <row r="46" spans="1:14" x14ac:dyDescent="0.3">
      <c r="A46">
        <v>123</v>
      </c>
      <c r="B46" t="s">
        <v>13</v>
      </c>
      <c r="C46" t="s">
        <v>21</v>
      </c>
      <c r="D46">
        <v>3</v>
      </c>
      <c r="E46">
        <v>2</v>
      </c>
      <c r="F46">
        <v>110.81</v>
      </c>
      <c r="G46" t="s">
        <v>99</v>
      </c>
      <c r="H46" t="s">
        <v>100</v>
      </c>
      <c r="I46" t="s">
        <v>17</v>
      </c>
      <c r="J46" s="1">
        <v>2014</v>
      </c>
      <c r="K46" t="s">
        <v>18</v>
      </c>
      <c r="L46" t="s">
        <v>74</v>
      </c>
      <c r="M46" t="s">
        <v>20</v>
      </c>
      <c r="N46" t="s">
        <v>20</v>
      </c>
    </row>
    <row r="47" spans="1:14" x14ac:dyDescent="0.3">
      <c r="A47">
        <v>136</v>
      </c>
      <c r="B47" t="s">
        <v>13</v>
      </c>
      <c r="C47" t="s">
        <v>55</v>
      </c>
      <c r="D47">
        <v>3</v>
      </c>
      <c r="E47">
        <v>2</v>
      </c>
      <c r="F47">
        <v>111.47</v>
      </c>
      <c r="G47" t="s">
        <v>101</v>
      </c>
      <c r="H47" t="s">
        <v>102</v>
      </c>
      <c r="I47" t="s">
        <v>17</v>
      </c>
      <c r="J47" s="1">
        <v>2014</v>
      </c>
      <c r="K47" t="s">
        <v>25</v>
      </c>
      <c r="L47" t="s">
        <v>74</v>
      </c>
      <c r="M47" t="s">
        <v>26</v>
      </c>
      <c r="N47" t="s">
        <v>26</v>
      </c>
    </row>
    <row r="48" spans="1:14" x14ac:dyDescent="0.3">
      <c r="A48">
        <v>127</v>
      </c>
      <c r="B48" t="s">
        <v>13</v>
      </c>
      <c r="C48" t="s">
        <v>46</v>
      </c>
      <c r="D48">
        <v>3</v>
      </c>
      <c r="E48">
        <v>1</v>
      </c>
      <c r="F48">
        <v>111.4</v>
      </c>
      <c r="G48" t="s">
        <v>103</v>
      </c>
      <c r="H48" t="s">
        <v>104</v>
      </c>
      <c r="I48" t="s">
        <v>24</v>
      </c>
      <c r="J48" s="1">
        <v>2014</v>
      </c>
      <c r="K48" t="s">
        <v>25</v>
      </c>
      <c r="L48" t="s">
        <v>74</v>
      </c>
      <c r="M48" t="s">
        <v>26</v>
      </c>
      <c r="N48" t="s">
        <v>20</v>
      </c>
    </row>
    <row r="49" spans="1:14" x14ac:dyDescent="0.3">
      <c r="A49">
        <v>139</v>
      </c>
      <c r="B49" t="s">
        <v>36</v>
      </c>
      <c r="C49" t="s">
        <v>43</v>
      </c>
      <c r="D49">
        <v>4</v>
      </c>
      <c r="E49">
        <v>2</v>
      </c>
      <c r="F49">
        <v>110.31</v>
      </c>
      <c r="G49" t="s">
        <v>105</v>
      </c>
      <c r="H49" t="s">
        <v>106</v>
      </c>
      <c r="I49" t="s">
        <v>24</v>
      </c>
      <c r="J49" s="1">
        <v>2014</v>
      </c>
      <c r="K49" t="s">
        <v>25</v>
      </c>
      <c r="L49" t="s">
        <v>74</v>
      </c>
      <c r="M49" t="s">
        <v>20</v>
      </c>
      <c r="N49" t="s">
        <v>26</v>
      </c>
    </row>
    <row r="50" spans="1:14" x14ac:dyDescent="0.3">
      <c r="A50">
        <v>107</v>
      </c>
      <c r="B50" t="s">
        <v>13</v>
      </c>
      <c r="C50" t="s">
        <v>85</v>
      </c>
      <c r="D50">
        <v>3</v>
      </c>
      <c r="E50">
        <v>1</v>
      </c>
      <c r="F50">
        <v>84.9</v>
      </c>
      <c r="G50" t="s">
        <v>15</v>
      </c>
      <c r="H50" t="s">
        <v>16</v>
      </c>
      <c r="I50" t="s">
        <v>17</v>
      </c>
      <c r="J50" s="1">
        <v>2015</v>
      </c>
      <c r="K50" t="s">
        <v>25</v>
      </c>
      <c r="L50" t="s">
        <v>74</v>
      </c>
      <c r="M50" t="s">
        <v>26</v>
      </c>
      <c r="N50" t="s">
        <v>20</v>
      </c>
    </row>
    <row r="51" spans="1:14" x14ac:dyDescent="0.3">
      <c r="A51">
        <v>138</v>
      </c>
      <c r="B51" t="s">
        <v>13</v>
      </c>
      <c r="C51" t="s">
        <v>33</v>
      </c>
      <c r="D51">
        <v>3</v>
      </c>
      <c r="E51">
        <v>1</v>
      </c>
      <c r="F51">
        <v>98.57</v>
      </c>
      <c r="G51" t="s">
        <v>31</v>
      </c>
      <c r="H51" t="s">
        <v>32</v>
      </c>
      <c r="I51" t="s">
        <v>24</v>
      </c>
      <c r="J51" s="1">
        <v>2015</v>
      </c>
      <c r="K51" t="s">
        <v>25</v>
      </c>
      <c r="L51" t="s">
        <v>74</v>
      </c>
      <c r="M51" t="s">
        <v>26</v>
      </c>
      <c r="N51" t="s">
        <v>20</v>
      </c>
    </row>
    <row r="52" spans="1:14" x14ac:dyDescent="0.3">
      <c r="A52">
        <v>117</v>
      </c>
      <c r="B52" t="s">
        <v>13</v>
      </c>
      <c r="C52" t="s">
        <v>14</v>
      </c>
      <c r="D52">
        <v>3</v>
      </c>
      <c r="E52">
        <v>1</v>
      </c>
      <c r="F52">
        <v>100</v>
      </c>
      <c r="G52" t="s">
        <v>39</v>
      </c>
      <c r="H52" t="s">
        <v>40</v>
      </c>
      <c r="I52" t="s">
        <v>17</v>
      </c>
      <c r="J52" s="1">
        <v>2016</v>
      </c>
      <c r="K52" t="s">
        <v>18</v>
      </c>
      <c r="L52" t="s">
        <v>74</v>
      </c>
      <c r="M52" t="s">
        <v>20</v>
      </c>
      <c r="N52" t="s">
        <v>20</v>
      </c>
    </row>
    <row r="53" spans="1:14" x14ac:dyDescent="0.3">
      <c r="A53">
        <v>106</v>
      </c>
      <c r="B53" t="s">
        <v>13</v>
      </c>
      <c r="C53" t="s">
        <v>14</v>
      </c>
      <c r="D53">
        <v>3</v>
      </c>
      <c r="E53">
        <v>2</v>
      </c>
      <c r="F53">
        <v>115.21</v>
      </c>
      <c r="G53" t="s">
        <v>107</v>
      </c>
      <c r="H53" t="s">
        <v>108</v>
      </c>
      <c r="I53" t="s">
        <v>17</v>
      </c>
      <c r="J53" s="1">
        <v>2016</v>
      </c>
      <c r="K53" t="s">
        <v>18</v>
      </c>
      <c r="L53" t="s">
        <v>74</v>
      </c>
      <c r="M53" t="s">
        <v>20</v>
      </c>
      <c r="N53" t="s">
        <v>20</v>
      </c>
    </row>
    <row r="54" spans="1:14" x14ac:dyDescent="0.3">
      <c r="A54">
        <v>154</v>
      </c>
      <c r="B54" t="s">
        <v>36</v>
      </c>
      <c r="C54" t="s">
        <v>21</v>
      </c>
      <c r="D54">
        <v>3</v>
      </c>
      <c r="E54">
        <v>2</v>
      </c>
      <c r="F54">
        <v>114.92</v>
      </c>
      <c r="G54" t="s">
        <v>109</v>
      </c>
      <c r="H54" t="s">
        <v>110</v>
      </c>
      <c r="I54" t="s">
        <v>24</v>
      </c>
      <c r="J54" s="1">
        <v>2016</v>
      </c>
      <c r="K54" t="s">
        <v>25</v>
      </c>
      <c r="L54" t="s">
        <v>74</v>
      </c>
      <c r="M54" t="s">
        <v>26</v>
      </c>
      <c r="N54" t="s">
        <v>20</v>
      </c>
    </row>
    <row r="55" spans="1:14" x14ac:dyDescent="0.3">
      <c r="A55">
        <v>122</v>
      </c>
      <c r="B55" t="s">
        <v>13</v>
      </c>
      <c r="C55" t="s">
        <v>27</v>
      </c>
      <c r="D55">
        <v>3</v>
      </c>
      <c r="E55">
        <v>2</v>
      </c>
      <c r="F55">
        <v>116.19</v>
      </c>
      <c r="G55" t="s">
        <v>72</v>
      </c>
      <c r="H55" t="s">
        <v>73</v>
      </c>
      <c r="I55" t="s">
        <v>24</v>
      </c>
      <c r="J55" s="1">
        <v>2017</v>
      </c>
      <c r="K55" t="s">
        <v>25</v>
      </c>
      <c r="L55" t="s">
        <v>74</v>
      </c>
      <c r="M55" t="s">
        <v>20</v>
      </c>
      <c r="N55" t="s">
        <v>26</v>
      </c>
    </row>
    <row r="56" spans="1:14" x14ac:dyDescent="0.3">
      <c r="A56">
        <v>111</v>
      </c>
      <c r="B56" t="s">
        <v>36</v>
      </c>
      <c r="C56" t="s">
        <v>46</v>
      </c>
      <c r="D56">
        <v>3</v>
      </c>
      <c r="E56">
        <v>2</v>
      </c>
      <c r="F56">
        <v>96.52</v>
      </c>
      <c r="G56" t="s">
        <v>111</v>
      </c>
      <c r="H56" t="s">
        <v>112</v>
      </c>
      <c r="I56" t="s">
        <v>17</v>
      </c>
      <c r="J56" s="1">
        <v>2017</v>
      </c>
      <c r="K56" t="s">
        <v>25</v>
      </c>
      <c r="L56" t="s">
        <v>74</v>
      </c>
      <c r="M56" t="s">
        <v>26</v>
      </c>
      <c r="N56" t="s">
        <v>26</v>
      </c>
    </row>
    <row r="57" spans="1:14" x14ac:dyDescent="0.3">
      <c r="A57">
        <v>131</v>
      </c>
      <c r="B57" t="s">
        <v>13</v>
      </c>
      <c r="C57" t="s">
        <v>43</v>
      </c>
      <c r="D57">
        <v>3</v>
      </c>
      <c r="E57">
        <v>1</v>
      </c>
      <c r="F57">
        <v>136.44999999999999</v>
      </c>
      <c r="G57" t="s">
        <v>88</v>
      </c>
      <c r="H57" t="s">
        <v>89</v>
      </c>
      <c r="I57" t="s">
        <v>17</v>
      </c>
      <c r="J57" s="1">
        <v>2017</v>
      </c>
      <c r="K57" t="s">
        <v>25</v>
      </c>
      <c r="L57" t="s">
        <v>74</v>
      </c>
      <c r="M57" t="s">
        <v>26</v>
      </c>
      <c r="N57" t="s">
        <v>26</v>
      </c>
    </row>
    <row r="58" spans="1:14" x14ac:dyDescent="0.3">
      <c r="A58">
        <v>110</v>
      </c>
      <c r="B58" t="s">
        <v>36</v>
      </c>
      <c r="C58" t="s">
        <v>43</v>
      </c>
      <c r="D58">
        <v>3</v>
      </c>
      <c r="E58">
        <v>2</v>
      </c>
      <c r="F58">
        <v>94.82</v>
      </c>
      <c r="G58" t="s">
        <v>88</v>
      </c>
      <c r="H58" t="s">
        <v>89</v>
      </c>
      <c r="I58" t="s">
        <v>17</v>
      </c>
      <c r="J58" s="1">
        <v>2017</v>
      </c>
      <c r="K58" t="s">
        <v>25</v>
      </c>
      <c r="L58" t="s">
        <v>74</v>
      </c>
      <c r="M58" t="s">
        <v>20</v>
      </c>
      <c r="N58" t="s">
        <v>26</v>
      </c>
    </row>
    <row r="59" spans="1:14" x14ac:dyDescent="0.3">
      <c r="A59">
        <v>121</v>
      </c>
      <c r="B59" t="s">
        <v>13</v>
      </c>
      <c r="C59" t="s">
        <v>21</v>
      </c>
      <c r="D59">
        <v>3</v>
      </c>
      <c r="E59">
        <v>1</v>
      </c>
      <c r="F59">
        <v>96.8</v>
      </c>
      <c r="G59" t="s">
        <v>53</v>
      </c>
      <c r="H59" t="s">
        <v>54</v>
      </c>
      <c r="I59" t="s">
        <v>24</v>
      </c>
      <c r="J59" s="1">
        <v>2017</v>
      </c>
      <c r="K59" t="s">
        <v>18</v>
      </c>
      <c r="L59" t="s">
        <v>74</v>
      </c>
      <c r="M59" t="s">
        <v>20</v>
      </c>
      <c r="N59" t="s">
        <v>26</v>
      </c>
    </row>
    <row r="60" spans="1:14" x14ac:dyDescent="0.3">
      <c r="A60">
        <v>113</v>
      </c>
      <c r="B60" t="s">
        <v>13</v>
      </c>
      <c r="C60" t="s">
        <v>21</v>
      </c>
      <c r="D60">
        <v>3</v>
      </c>
      <c r="E60">
        <v>1</v>
      </c>
      <c r="F60">
        <v>106.6</v>
      </c>
      <c r="G60" t="s">
        <v>113</v>
      </c>
      <c r="H60" t="s">
        <v>114</v>
      </c>
      <c r="I60" t="s">
        <v>24</v>
      </c>
      <c r="J60" s="1">
        <v>2017</v>
      </c>
      <c r="K60" t="s">
        <v>25</v>
      </c>
      <c r="L60" t="s">
        <v>74</v>
      </c>
      <c r="M60" t="s">
        <v>20</v>
      </c>
      <c r="N60" t="s">
        <v>26</v>
      </c>
    </row>
    <row r="61" spans="1:14" x14ac:dyDescent="0.3">
      <c r="A61">
        <v>112</v>
      </c>
      <c r="B61" t="s">
        <v>13</v>
      </c>
      <c r="C61" t="s">
        <v>33</v>
      </c>
      <c r="D61">
        <v>3</v>
      </c>
      <c r="E61">
        <v>2</v>
      </c>
      <c r="F61">
        <v>94.11</v>
      </c>
      <c r="G61" t="s">
        <v>115</v>
      </c>
      <c r="H61" t="s">
        <v>116</v>
      </c>
      <c r="I61" t="s">
        <v>17</v>
      </c>
      <c r="J61" s="1">
        <v>2018</v>
      </c>
      <c r="K61" t="s">
        <v>25</v>
      </c>
      <c r="L61" t="s">
        <v>74</v>
      </c>
      <c r="M61" t="s">
        <v>26</v>
      </c>
      <c r="N61" t="s">
        <v>26</v>
      </c>
    </row>
    <row r="62" spans="1:14" x14ac:dyDescent="0.3">
      <c r="A62">
        <v>160</v>
      </c>
      <c r="B62" t="s">
        <v>36</v>
      </c>
      <c r="C62" t="s">
        <v>33</v>
      </c>
      <c r="D62">
        <v>3</v>
      </c>
      <c r="E62">
        <v>1</v>
      </c>
      <c r="F62">
        <v>100.62</v>
      </c>
      <c r="G62" t="s">
        <v>117</v>
      </c>
      <c r="H62" t="s">
        <v>118</v>
      </c>
      <c r="I62" t="s">
        <v>17</v>
      </c>
      <c r="J62" s="1">
        <v>2018</v>
      </c>
      <c r="K62" t="s">
        <v>25</v>
      </c>
      <c r="L62" t="s">
        <v>74</v>
      </c>
      <c r="M62" t="s">
        <v>26</v>
      </c>
      <c r="N62" t="s">
        <v>26</v>
      </c>
    </row>
    <row r="63" spans="1:14" x14ac:dyDescent="0.3">
      <c r="A63">
        <v>129</v>
      </c>
      <c r="B63" t="s">
        <v>36</v>
      </c>
      <c r="C63" t="s">
        <v>33</v>
      </c>
      <c r="D63">
        <v>3</v>
      </c>
      <c r="E63">
        <v>2</v>
      </c>
      <c r="F63">
        <v>134.37</v>
      </c>
      <c r="G63" t="s">
        <v>62</v>
      </c>
      <c r="H63" t="s">
        <v>63</v>
      </c>
      <c r="I63" t="s">
        <v>17</v>
      </c>
      <c r="J63" s="1">
        <v>2018</v>
      </c>
      <c r="K63" t="s">
        <v>25</v>
      </c>
      <c r="L63" t="s">
        <v>74</v>
      </c>
      <c r="M63" t="s">
        <v>26</v>
      </c>
      <c r="N63" t="s">
        <v>26</v>
      </c>
    </row>
    <row r="64" spans="1:14" x14ac:dyDescent="0.3">
      <c r="A64">
        <v>140</v>
      </c>
      <c r="B64" t="s">
        <v>13</v>
      </c>
      <c r="C64" t="s">
        <v>46</v>
      </c>
      <c r="D64">
        <v>3</v>
      </c>
      <c r="E64">
        <v>2</v>
      </c>
      <c r="F64">
        <v>130.84</v>
      </c>
      <c r="G64" t="s">
        <v>119</v>
      </c>
      <c r="H64" t="s">
        <v>79</v>
      </c>
      <c r="I64" t="s">
        <v>24</v>
      </c>
      <c r="J64" s="1">
        <v>2018</v>
      </c>
      <c r="K64" t="s">
        <v>25</v>
      </c>
      <c r="L64" t="s">
        <v>74</v>
      </c>
      <c r="M64" t="s">
        <v>26</v>
      </c>
      <c r="N64" t="s">
        <v>26</v>
      </c>
    </row>
    <row r="65" spans="1:14" x14ac:dyDescent="0.3">
      <c r="A65">
        <v>157</v>
      </c>
      <c r="B65" t="s">
        <v>36</v>
      </c>
      <c r="C65" t="s">
        <v>46</v>
      </c>
      <c r="D65">
        <v>3</v>
      </c>
      <c r="E65">
        <v>1</v>
      </c>
      <c r="F65">
        <v>121.71</v>
      </c>
      <c r="G65" t="s">
        <v>51</v>
      </c>
      <c r="H65" t="s">
        <v>52</v>
      </c>
      <c r="I65" t="s">
        <v>24</v>
      </c>
      <c r="J65" s="1">
        <v>2018</v>
      </c>
      <c r="K65" t="s">
        <v>120</v>
      </c>
      <c r="L65" t="s">
        <v>74</v>
      </c>
      <c r="M65" t="s">
        <v>26</v>
      </c>
      <c r="N65" t="s">
        <v>26</v>
      </c>
    </row>
    <row r="66" spans="1:14" x14ac:dyDescent="0.3">
      <c r="A66">
        <v>107</v>
      </c>
      <c r="B66" t="s">
        <v>13</v>
      </c>
      <c r="C66" t="s">
        <v>46</v>
      </c>
      <c r="D66">
        <v>3</v>
      </c>
      <c r="E66">
        <v>2</v>
      </c>
      <c r="F66">
        <v>89.91</v>
      </c>
      <c r="G66" t="s">
        <v>72</v>
      </c>
      <c r="H66" t="s">
        <v>73</v>
      </c>
      <c r="I66" t="s">
        <v>24</v>
      </c>
      <c r="J66" s="1">
        <v>2018</v>
      </c>
      <c r="K66" t="s">
        <v>18</v>
      </c>
      <c r="L66" t="s">
        <v>74</v>
      </c>
      <c r="M66" t="s">
        <v>20</v>
      </c>
      <c r="N66" t="s">
        <v>26</v>
      </c>
    </row>
    <row r="67" spans="1:14" x14ac:dyDescent="0.3">
      <c r="A67">
        <v>104</v>
      </c>
      <c r="B67" t="s">
        <v>13</v>
      </c>
      <c r="C67" t="s">
        <v>14</v>
      </c>
      <c r="D67">
        <v>3</v>
      </c>
      <c r="E67">
        <v>2</v>
      </c>
      <c r="F67">
        <v>92.85</v>
      </c>
      <c r="G67" t="s">
        <v>15</v>
      </c>
      <c r="H67" t="s">
        <v>16</v>
      </c>
      <c r="I67" t="s">
        <v>17</v>
      </c>
      <c r="J67" s="1">
        <v>2019</v>
      </c>
      <c r="K67" t="s">
        <v>25</v>
      </c>
      <c r="L67" t="s">
        <v>74</v>
      </c>
      <c r="M67" t="s">
        <v>26</v>
      </c>
      <c r="N67" t="s">
        <v>26</v>
      </c>
    </row>
    <row r="68" spans="1:14" x14ac:dyDescent="0.3">
      <c r="A68">
        <v>116</v>
      </c>
      <c r="B68" t="s">
        <v>13</v>
      </c>
      <c r="C68" t="s">
        <v>14</v>
      </c>
      <c r="D68">
        <v>3</v>
      </c>
      <c r="E68">
        <v>1</v>
      </c>
      <c r="F68">
        <v>96.67</v>
      </c>
      <c r="G68" t="s">
        <v>28</v>
      </c>
      <c r="H68" t="s">
        <v>29</v>
      </c>
      <c r="I68" t="s">
        <v>24</v>
      </c>
      <c r="J68" s="1">
        <v>2019</v>
      </c>
      <c r="K68" t="s">
        <v>25</v>
      </c>
      <c r="L68" t="s">
        <v>74</v>
      </c>
      <c r="M68" t="s">
        <v>26</v>
      </c>
      <c r="N68" t="s">
        <v>26</v>
      </c>
    </row>
    <row r="69" spans="1:14" x14ac:dyDescent="0.3">
      <c r="A69">
        <v>123</v>
      </c>
      <c r="B69" t="s">
        <v>13</v>
      </c>
      <c r="C69" t="s">
        <v>14</v>
      </c>
      <c r="D69">
        <v>3</v>
      </c>
      <c r="E69">
        <v>2</v>
      </c>
      <c r="F69">
        <v>129.47</v>
      </c>
      <c r="G69" t="s">
        <v>105</v>
      </c>
      <c r="H69" t="s">
        <v>106</v>
      </c>
      <c r="I69" t="s">
        <v>24</v>
      </c>
      <c r="J69" s="1">
        <v>2019</v>
      </c>
      <c r="K69" t="s">
        <v>18</v>
      </c>
      <c r="L69" t="s">
        <v>74</v>
      </c>
      <c r="M69" t="s">
        <v>20</v>
      </c>
      <c r="N69" t="s">
        <v>26</v>
      </c>
    </row>
    <row r="70" spans="1:14" x14ac:dyDescent="0.3">
      <c r="A70">
        <v>120</v>
      </c>
      <c r="B70" t="s">
        <v>13</v>
      </c>
      <c r="C70" t="s">
        <v>46</v>
      </c>
      <c r="D70">
        <v>3</v>
      </c>
      <c r="E70">
        <v>1</v>
      </c>
      <c r="F70">
        <v>96</v>
      </c>
      <c r="G70" t="s">
        <v>90</v>
      </c>
      <c r="H70" t="s">
        <v>91</v>
      </c>
      <c r="I70" t="s">
        <v>17</v>
      </c>
      <c r="J70" s="1">
        <v>2019</v>
      </c>
      <c r="K70" t="s">
        <v>25</v>
      </c>
      <c r="L70" t="s">
        <v>74</v>
      </c>
      <c r="M70" t="s">
        <v>26</v>
      </c>
      <c r="N70" t="s">
        <v>26</v>
      </c>
    </row>
    <row r="71" spans="1:14" x14ac:dyDescent="0.3">
      <c r="A71">
        <v>114</v>
      </c>
      <c r="B71" t="s">
        <v>36</v>
      </c>
      <c r="C71" t="s">
        <v>46</v>
      </c>
      <c r="D71">
        <v>3</v>
      </c>
      <c r="E71">
        <v>2</v>
      </c>
      <c r="F71">
        <v>115.15</v>
      </c>
      <c r="G71" t="s">
        <v>90</v>
      </c>
      <c r="H71" t="s">
        <v>91</v>
      </c>
      <c r="I71" t="s">
        <v>17</v>
      </c>
      <c r="J71" s="1">
        <v>2019</v>
      </c>
      <c r="K71" t="s">
        <v>25</v>
      </c>
      <c r="L71" t="s">
        <v>74</v>
      </c>
      <c r="M71" t="s">
        <v>26</v>
      </c>
      <c r="N71" t="s">
        <v>26</v>
      </c>
    </row>
    <row r="72" spans="1:14" x14ac:dyDescent="0.3">
      <c r="A72">
        <v>122</v>
      </c>
      <c r="B72" t="s">
        <v>36</v>
      </c>
      <c r="C72" t="s">
        <v>121</v>
      </c>
      <c r="D72">
        <v>1</v>
      </c>
      <c r="E72">
        <v>1</v>
      </c>
      <c r="F72">
        <v>200</v>
      </c>
      <c r="G72" t="s">
        <v>122</v>
      </c>
      <c r="H72" t="s">
        <v>123</v>
      </c>
      <c r="I72" t="s">
        <v>17</v>
      </c>
      <c r="J72" s="1">
        <v>2022</v>
      </c>
      <c r="K72" t="s">
        <v>25</v>
      </c>
      <c r="L72" t="s">
        <v>124</v>
      </c>
      <c r="M72" t="s">
        <v>26</v>
      </c>
      <c r="N72" t="s">
        <v>20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 A</vt:lpstr>
      <vt:lpstr>Century as a captain</vt:lpstr>
      <vt:lpstr>Batting Order</vt:lpstr>
      <vt:lpstr>Win and Loss Data</vt:lpstr>
      <vt:lpstr>Venue</vt:lpstr>
      <vt:lpstr>YEARLY PERFORMANCE</vt:lpstr>
      <vt:lpstr>Dashbord</vt:lpstr>
      <vt:lpstr>71 Centuries of Virat Kohli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 Bawa</dc:creator>
  <cp:lastModifiedBy>p Bawa</cp:lastModifiedBy>
  <dcterms:created xsi:type="dcterms:W3CDTF">2022-11-14T09:12:27Z</dcterms:created>
  <dcterms:modified xsi:type="dcterms:W3CDTF">2022-11-14T10:05:41Z</dcterms:modified>
</cp:coreProperties>
</file>